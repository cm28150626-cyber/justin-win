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共用資料匣\小包計價\"/>
    </mc:Choice>
  </mc:AlternateContent>
  <bookViews>
    <workbookView xWindow="-120" yWindow="-120" windowWidth="29040" windowHeight="15720" tabRatio="1000"/>
  </bookViews>
  <sheets>
    <sheet name="人行道 (2)" sheetId="117" r:id="rId1"/>
    <sheet name="人行道" sheetId="116" r:id="rId2"/>
  </sheets>
  <definedNames>
    <definedName name="_xlnm.Print_Area" localSheetId="1">人行道!$A$1:$T$63</definedName>
    <definedName name="_xlnm.Print_Area" localSheetId="0">'人行道 (2)'!$A$1:$T$52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17" l="1"/>
  <c r="L30" i="117" s="1"/>
  <c r="S37" i="117"/>
  <c r="S36" i="117"/>
  <c r="S35" i="117"/>
  <c r="S34" i="117"/>
  <c r="J30" i="117"/>
  <c r="S29" i="117"/>
  <c r="S21" i="117"/>
  <c r="S20" i="117"/>
  <c r="S19" i="117"/>
  <c r="S18" i="117"/>
  <c r="S17" i="117"/>
  <c r="S16" i="117"/>
  <c r="S15" i="117"/>
  <c r="S14" i="117"/>
  <c r="S13" i="117"/>
  <c r="S12" i="117"/>
  <c r="S11" i="117"/>
  <c r="Q10" i="117"/>
  <c r="O10" i="117"/>
  <c r="O30" i="117" s="1"/>
  <c r="O31" i="117" l="1"/>
  <c r="L38" i="117"/>
  <c r="L31" i="117"/>
  <c r="S31" i="117" s="1"/>
  <c r="S10" i="117"/>
  <c r="S30" i="117"/>
  <c r="Q10" i="116"/>
  <c r="O10" i="116"/>
  <c r="S18" i="116"/>
  <c r="S19" i="116"/>
  <c r="S20" i="116"/>
  <c r="S21" i="116"/>
  <c r="S22" i="116"/>
  <c r="S23" i="116"/>
  <c r="S24" i="116"/>
  <c r="S25" i="116"/>
  <c r="S17" i="116"/>
  <c r="S13" i="116"/>
  <c r="J41" i="116"/>
  <c r="S48" i="116"/>
  <c r="S47" i="116"/>
  <c r="S46" i="116"/>
  <c r="S45" i="116"/>
  <c r="S40" i="116"/>
  <c r="S27" i="116"/>
  <c r="L39" i="117" l="1"/>
  <c r="O38" i="117"/>
  <c r="S38" i="117" s="1"/>
  <c r="S12" i="116"/>
  <c r="S15" i="116"/>
  <c r="O41" i="116"/>
  <c r="S16" i="116"/>
  <c r="S14" i="116"/>
  <c r="S11" i="116"/>
  <c r="O39" i="117" l="1"/>
  <c r="S39" i="117" s="1"/>
  <c r="O42" i="116"/>
  <c r="S42" i="116" s="1"/>
  <c r="S10" i="116"/>
  <c r="L41" i="116"/>
  <c r="S41" i="116" l="1"/>
  <c r="O49" i="116" l="1"/>
  <c r="L50" i="116"/>
  <c r="O50" i="116" l="1"/>
  <c r="S50" i="116" s="1"/>
  <c r="S49" i="116"/>
</calcChain>
</file>

<file path=xl/sharedStrings.xml><?xml version="1.0" encoding="utf-8"?>
<sst xmlns="http://schemas.openxmlformats.org/spreadsheetml/2006/main" count="206" uniqueCount="86">
  <si>
    <t>項次</t>
    <phoneticPr fontId="1" type="noConversion"/>
  </si>
  <si>
    <t>工 程 估 驗 計 價 表</t>
    <phoneticPr fontId="1" type="noConversion"/>
  </si>
  <si>
    <t>民</t>
    <phoneticPr fontId="1" type="noConversion"/>
  </si>
  <si>
    <t>國</t>
    <phoneticPr fontId="1" type="noConversion"/>
  </si>
  <si>
    <t>月</t>
    <phoneticPr fontId="1" type="noConversion"/>
  </si>
  <si>
    <t>日起</t>
    <phoneticPr fontId="1" type="noConversion"/>
  </si>
  <si>
    <t>第</t>
    <phoneticPr fontId="1" type="noConversion"/>
  </si>
  <si>
    <t>頁</t>
    <phoneticPr fontId="1" type="noConversion"/>
  </si>
  <si>
    <t>廠商</t>
    <phoneticPr fontId="1" type="noConversion"/>
  </si>
  <si>
    <t>工程項目</t>
    <phoneticPr fontId="1" type="noConversion"/>
  </si>
  <si>
    <t>附                      件</t>
    <phoneticPr fontId="1" type="noConversion"/>
  </si>
  <si>
    <t>請款期數</t>
    <phoneticPr fontId="1" type="noConversion"/>
  </si>
  <si>
    <t>期</t>
    <phoneticPr fontId="1" type="noConversion"/>
  </si>
  <si>
    <t>張</t>
    <phoneticPr fontId="1" type="noConversion"/>
  </si>
  <si>
    <t>施工內容</t>
    <phoneticPr fontId="1" type="noConversion"/>
  </si>
  <si>
    <t>□工料</t>
    <phoneticPr fontId="1" type="noConversion"/>
  </si>
  <si>
    <t>□材料</t>
    <phoneticPr fontId="1" type="noConversion"/>
  </si>
  <si>
    <t>項目</t>
    <phoneticPr fontId="1" type="noConversion"/>
  </si>
  <si>
    <t>原訂</t>
    <phoneticPr fontId="1" type="noConversion"/>
  </si>
  <si>
    <t>前期完成</t>
    <phoneticPr fontId="1" type="noConversion"/>
  </si>
  <si>
    <t>本期完成</t>
    <phoneticPr fontId="1" type="noConversion"/>
  </si>
  <si>
    <t>累計完成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</si>
  <si>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</si>
  <si>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</si>
  <si>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</si>
  <si>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金額</t>
    <phoneticPr fontId="1" type="noConversion"/>
  </si>
  <si>
    <t>合              計</t>
    <phoneticPr fontId="1" type="noConversion"/>
  </si>
  <si>
    <t>減：1、</t>
    <phoneticPr fontId="1" type="noConversion"/>
  </si>
  <si>
    <t>%)</t>
    <phoneticPr fontId="1" type="noConversion"/>
  </si>
  <si>
    <r>
      <t xml:space="preserve">    2、</t>
    </r>
    <r>
      <rPr>
        <sz val="12"/>
        <color indexed="8"/>
        <rFont val="新細明體"/>
        <family val="1"/>
        <charset val="136"/>
      </rPr>
      <t/>
    </r>
    <phoneticPr fontId="1" type="noConversion"/>
  </si>
  <si>
    <r>
      <t xml:space="preserve">    3、</t>
    </r>
    <r>
      <rPr>
        <sz val="12"/>
        <color indexed="8"/>
        <rFont val="新細明體"/>
        <family val="1"/>
        <charset val="136"/>
      </rPr>
      <t/>
    </r>
  </si>
  <si>
    <t>加：1、</t>
    <phoneticPr fontId="1" type="noConversion"/>
  </si>
  <si>
    <t>營業稅(5%)</t>
    <phoneticPr fontId="1" type="noConversion"/>
  </si>
  <si>
    <t xml:space="preserve"> 營業稅(</t>
    <phoneticPr fontId="1" type="noConversion"/>
  </si>
  <si>
    <t>實 付 數：</t>
    <phoneticPr fontId="1" type="noConversion"/>
  </si>
  <si>
    <t>付款辦法：</t>
    <phoneticPr fontId="1" type="noConversion"/>
  </si>
  <si>
    <t>行庫名稱及帳號</t>
    <phoneticPr fontId="1" type="noConversion"/>
  </si>
  <si>
    <t>票       號</t>
    <phoneticPr fontId="1" type="noConversion"/>
  </si>
  <si>
    <t>到期日</t>
    <phoneticPr fontId="1" type="noConversion"/>
  </si>
  <si>
    <t>金    額</t>
    <phoneticPr fontId="1" type="noConversion"/>
  </si>
  <si>
    <t>■</t>
    <phoneticPr fontId="1" type="noConversion"/>
  </si>
  <si>
    <t>現 金 票：</t>
    <phoneticPr fontId="1" type="noConversion"/>
  </si>
  <si>
    <t>%</t>
    <phoneticPr fontId="1" type="noConversion"/>
  </si>
  <si>
    <t>□</t>
    <phoneticPr fontId="1" type="noConversion"/>
  </si>
  <si>
    <t>期    票：</t>
    <phoneticPr fontId="1" type="noConversion"/>
  </si>
  <si>
    <t>匯    票：</t>
    <phoneticPr fontId="1" type="noConversion"/>
  </si>
  <si>
    <t>含    稅</t>
    <phoneticPr fontId="1" type="noConversion"/>
  </si>
  <si>
    <t>未    稅</t>
    <phoneticPr fontId="1" type="noConversion"/>
  </si>
  <si>
    <t>備註</t>
    <phoneticPr fontId="1" type="noConversion"/>
  </si>
  <si>
    <t>會
計</t>
    <phoneticPr fontId="10" type="noConversion"/>
  </si>
  <si>
    <t>主
管</t>
    <phoneticPr fontId="10" type="noConversion"/>
  </si>
  <si>
    <t>承
辦</t>
    <phoneticPr fontId="10" type="noConversion"/>
  </si>
  <si>
    <t>工地名稱：和暘建設樹語院集合住宅新建工程</t>
    <phoneticPr fontId="1" type="noConversion"/>
  </si>
  <si>
    <t>發  票</t>
    <phoneticPr fontId="1" type="noConversion"/>
  </si>
  <si>
    <r>
      <t>R</t>
    </r>
    <r>
      <rPr>
        <sz val="12"/>
        <color indexed="8"/>
        <rFont val="標楷體"/>
        <family val="4"/>
        <charset val="136"/>
      </rPr>
      <t>工資</t>
    </r>
    <phoneticPr fontId="1" type="noConversion"/>
  </si>
  <si>
    <t>簽收單</t>
    <phoneticPr fontId="1" type="noConversion"/>
  </si>
  <si>
    <t>驗收款(</t>
    <phoneticPr fontId="1" type="noConversion"/>
  </si>
  <si>
    <t>工程保險</t>
    <phoneticPr fontId="1" type="noConversion"/>
  </si>
  <si>
    <t>代僱工</t>
    <phoneticPr fontId="8" type="noConversion"/>
  </si>
  <si>
    <r>
      <t xml:space="preserve">    4、</t>
    </r>
    <r>
      <rPr>
        <sz val="12"/>
        <color indexed="8"/>
        <rFont val="新細明體"/>
        <family val="1"/>
        <charset val="136"/>
      </rPr>
      <t/>
    </r>
  </si>
  <si>
    <r>
      <t xml:space="preserve">    3、</t>
    </r>
    <r>
      <rPr>
        <sz val="12"/>
        <color indexed="8"/>
        <rFont val="新細明體"/>
        <family val="1"/>
        <charset val="136"/>
      </rPr>
      <t/>
    </r>
    <phoneticPr fontId="1" type="noConversion"/>
  </si>
  <si>
    <t>計及出納填列  右列欄位由會</t>
    <phoneticPr fontId="1" type="noConversion"/>
  </si>
  <si>
    <t>天</t>
    <phoneticPr fontId="1" type="noConversion"/>
  </si>
  <si>
    <t>□</t>
    <phoneticPr fontId="8" type="noConversion"/>
  </si>
  <si>
    <t>董
事
長</t>
    <phoneticPr fontId="10" type="noConversion"/>
  </si>
  <si>
    <t>總
經
理</t>
    <phoneticPr fontId="10" type="noConversion"/>
  </si>
  <si>
    <t>經辦填表</t>
    <phoneticPr fontId="1" type="noConversion"/>
  </si>
  <si>
    <t>總 經 理</t>
    <phoneticPr fontId="1" type="noConversion"/>
  </si>
  <si>
    <t>特　  助</t>
  </si>
  <si>
    <t>協 　  理</t>
  </si>
  <si>
    <t>成控覆核</t>
  </si>
  <si>
    <t>專案主管</t>
  </si>
  <si>
    <t>所   長</t>
  </si>
  <si>
    <t>工地主任</t>
  </si>
  <si>
    <t>會計覆核</t>
    <phoneticPr fontId="8" type="noConversion"/>
  </si>
  <si>
    <t xml:space="preserve"> 工資表</t>
    <phoneticPr fontId="1" type="noConversion"/>
  </si>
  <si>
    <t xml:space="preserve"> 其  他</t>
    <phoneticPr fontId="1" type="noConversion"/>
  </si>
  <si>
    <t xml:space="preserve">  </t>
    <phoneticPr fontId="8" type="noConversion"/>
  </si>
  <si>
    <t>114年</t>
    <phoneticPr fontId="1" type="noConversion"/>
  </si>
  <si>
    <t>尚陳有限公司</t>
    <phoneticPr fontId="10" type="noConversion"/>
  </si>
  <si>
    <t>屋頂花台砌百歲磚</t>
    <phoneticPr fontId="10" type="noConversion"/>
  </si>
  <si>
    <t>百歲磚堆砌(H=20CM)</t>
    <phoneticPr fontId="8" type="noConversion"/>
  </si>
  <si>
    <t>M</t>
    <phoneticPr fontId="8" type="noConversion"/>
  </si>
  <si>
    <t>1.本期計價範圍 :各棟屋頂綠化槽砌百歲磚</t>
    <phoneticPr fontId="8" type="noConversion"/>
  </si>
  <si>
    <t>1.本期計價範圍 :屋頂百歲磚退保留款</t>
    <phoneticPr fontId="8" type="noConversion"/>
  </si>
  <si>
    <t>副總經理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</si>
</sst>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76" formatCode="_-* #,##0_-;\-* #,##0_-;_-* &quot;-&quot;??_-;_-@_-"/>
    <numFmt numFmtId="177" formatCode="#,##0.0_ "/>
    <numFmt numFmtId="178" formatCode="_-* #,##0.0_-;\-* #,##0.0_-;_-* &quot;-&quot;??_-;_-@_-"/>
    <numFmt numFmtId="179" formatCode="#,##0_ "/>
    <numFmt numFmtId="180" formatCode="#,##0_);[Red]\(#,##0\)"/>
  </numFmts>
  <fonts count="18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2"/>
      <color theme="1"/>
      <name val="標楷體"/>
      <family val="4"/>
      <charset val="136"/>
    </font>
    <font>
      <sz val="12"/>
      <color rgb="FF006100"/>
      <name val="新細明體"/>
      <family val="2"/>
      <charset val="136"/>
      <scheme val="minor"/>
    </font>
    <font>
      <u/>
      <sz val="26"/>
      <color indexed="8"/>
      <name val="標楷體"/>
      <family val="4"/>
      <charset val="136"/>
    </font>
    <font>
      <sz val="9"/>
      <name val="新細明體"/>
      <family val="1"/>
      <charset val="136"/>
      <scheme val="minor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indexed="10"/>
      <name val="新細明體"/>
      <family val="1"/>
      <charset val="136"/>
    </font>
    <font>
      <sz val="14"/>
      <color indexed="8"/>
      <name val="標楷體"/>
      <family val="4"/>
      <charset val="136"/>
    </font>
    <font>
      <u/>
      <sz val="12"/>
      <color indexed="8"/>
      <name val="標楷體"/>
      <family val="4"/>
      <charset val="136"/>
    </font>
    <font>
      <sz val="12"/>
      <color indexed="8"/>
      <name val="Wingdings 2"/>
      <family val="1"/>
      <charset val="2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Helv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9"/>
        <bgColor indexed="64"/>
      </patternFill>
    </fill>
    <fill>
      <patternFill patternType="solid">
        <fgColor indexed="27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0" borderId="0"/>
  </cellStyleXfs>
  <cellXfs count="171">
    <xf numFmtId="0" fontId="0" fillId="0" borderId="0" xfId="0"/>
    <xf numFmtId="0" fontId="9" fillId="0" borderId="1" xfId="0" applyFont="1" applyBorder="1" applyAlignment="1">
      <alignment vertical="center" shrinkToFit="1"/>
    </xf>
    <xf numFmtId="0" fontId="12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4" fillId="0" borderId="1" xfId="0" applyFont="1" applyBorder="1" applyAlignment="1">
      <alignment horizontal="center" vertical="center"/>
    </xf>
    <xf numFmtId="176" fontId="9" fillId="0" borderId="1" xfId="2" applyNumberFormat="1" applyFont="1" applyBorder="1" applyAlignment="1">
      <alignment vertical="center" shrinkToFit="1"/>
    </xf>
    <xf numFmtId="176" fontId="9" fillId="0" borderId="3" xfId="0" applyNumberFormat="1" applyFont="1" applyBorder="1" applyAlignment="1">
      <alignment vertical="center" shrinkToFit="1"/>
    </xf>
    <xf numFmtId="176" fontId="9" fillId="0" borderId="1" xfId="0" applyNumberFormat="1" applyFont="1" applyBorder="1" applyAlignment="1">
      <alignment vertical="center" shrinkToFit="1"/>
    </xf>
    <xf numFmtId="0" fontId="9" fillId="0" borderId="2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0" xfId="0" applyFont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76" fontId="9" fillId="0" borderId="1" xfId="2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vertical="center"/>
    </xf>
    <xf numFmtId="20" fontId="9" fillId="0" borderId="7" xfId="0" applyNumberFormat="1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1" xfId="5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76" fontId="9" fillId="0" borderId="1" xfId="2" applyNumberFormat="1" applyFont="1" applyBorder="1" applyAlignment="1">
      <alignment horizontal="center" vertical="center" shrinkToFit="1"/>
    </xf>
    <xf numFmtId="176" fontId="3" fillId="3" borderId="5" xfId="2" applyNumberFormat="1" applyFont="1" applyFill="1" applyBorder="1" applyAlignment="1">
      <alignment horizontal="center" vertical="center" shrinkToFit="1"/>
    </xf>
    <xf numFmtId="176" fontId="3" fillId="3" borderId="6" xfId="2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76" fontId="9" fillId="0" borderId="1" xfId="2" applyNumberFormat="1" applyFont="1" applyBorder="1" applyAlignment="1">
      <alignment horizontal="center" vertical="center" shrinkToFit="1"/>
    </xf>
    <xf numFmtId="20" fontId="9" fillId="0" borderId="7" xfId="0" applyNumberFormat="1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176" fontId="3" fillId="3" borderId="5" xfId="2" applyNumberFormat="1" applyFont="1" applyFill="1" applyBorder="1" applyAlignment="1">
      <alignment horizontal="center" vertical="center" shrinkToFit="1"/>
    </xf>
    <xf numFmtId="176" fontId="3" fillId="3" borderId="6" xfId="2" applyNumberFormat="1" applyFont="1" applyFill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1" xfId="5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5" fillId="0" borderId="1" xfId="2" applyNumberFormat="1" applyFont="1" applyFill="1" applyBorder="1" applyAlignment="1">
      <alignment horizontal="right" vertical="center"/>
    </xf>
    <xf numFmtId="43" fontId="15" fillId="0" borderId="1" xfId="2" applyFont="1" applyFill="1" applyBorder="1" applyAlignment="1">
      <alignment horizontal="right" vertical="center"/>
    </xf>
    <xf numFmtId="178" fontId="15" fillId="0" borderId="1" xfId="2" applyNumberFormat="1" applyFont="1" applyFill="1" applyBorder="1" applyAlignment="1">
      <alignment horizontal="right" vertical="center"/>
    </xf>
    <xf numFmtId="180" fontId="16" fillId="3" borderId="1" xfId="0" applyNumberFormat="1" applyFont="1" applyFill="1" applyBorder="1" applyAlignment="1">
      <alignment horizontal="right" vertical="center"/>
    </xf>
    <xf numFmtId="0" fontId="15" fillId="0" borderId="1" xfId="7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 wrapText="1" shrinkToFit="1"/>
    </xf>
    <xf numFmtId="176" fontId="9" fillId="0" borderId="5" xfId="2" applyNumberFormat="1" applyFont="1" applyBorder="1" applyAlignment="1">
      <alignment horizontal="center" vertical="center" shrinkToFit="1"/>
    </xf>
    <xf numFmtId="176" fontId="9" fillId="0" borderId="6" xfId="2" applyNumberFormat="1" applyFont="1" applyBorder="1" applyAlignment="1">
      <alignment horizontal="center" vertical="center" shrinkToFit="1"/>
    </xf>
    <xf numFmtId="178" fontId="9" fillId="0" borderId="1" xfId="2" applyNumberFormat="1" applyFont="1" applyBorder="1" applyAlignment="1">
      <alignment horizontal="center" vertical="center" shrinkToFit="1"/>
    </xf>
    <xf numFmtId="176" fontId="3" fillId="3" borderId="1" xfId="2" applyNumberFormat="1" applyFont="1" applyFill="1" applyBorder="1" applyAlignment="1">
      <alignment horizontal="center" vertical="center" shrinkToFit="1"/>
    </xf>
    <xf numFmtId="0" fontId="9" fillId="0" borderId="5" xfId="0" applyFont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6" xfId="0" applyFont="1" applyBorder="1" applyAlignment="1">
      <alignment vertical="center" shrinkToFit="1"/>
    </xf>
    <xf numFmtId="177" fontId="9" fillId="0" borderId="5" xfId="2" applyNumberFormat="1" applyFont="1" applyBorder="1" applyAlignment="1">
      <alignment vertical="center" shrinkToFit="1"/>
    </xf>
    <xf numFmtId="177" fontId="9" fillId="0" borderId="6" xfId="2" applyNumberFormat="1" applyFont="1" applyBorder="1" applyAlignment="1">
      <alignment vertical="center" shrinkToFit="1"/>
    </xf>
    <xf numFmtId="176" fontId="9" fillId="0" borderId="1" xfId="2" applyNumberFormat="1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1" xfId="5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3" fillId="3" borderId="5" xfId="3" applyNumberFormat="1" applyFont="1" applyFill="1" applyBorder="1" applyAlignment="1">
      <alignment horizontal="center" vertical="center"/>
    </xf>
    <xf numFmtId="0" fontId="3" fillId="3" borderId="7" xfId="3" applyNumberFormat="1" applyFont="1" applyFill="1" applyBorder="1" applyAlignment="1">
      <alignment horizontal="center" vertical="center"/>
    </xf>
    <xf numFmtId="0" fontId="3" fillId="3" borderId="6" xfId="3" applyNumberFormat="1" applyFont="1" applyFill="1" applyBorder="1" applyAlignment="1">
      <alignment horizontal="center" vertical="center"/>
    </xf>
    <xf numFmtId="0" fontId="3" fillId="3" borderId="1" xfId="3" applyNumberFormat="1" applyFont="1" applyFill="1" applyBorder="1" applyAlignment="1">
      <alignment horizontal="center" vertical="center"/>
    </xf>
    <xf numFmtId="179" fontId="9" fillId="0" borderId="5" xfId="2" applyNumberFormat="1" applyFont="1" applyBorder="1" applyAlignment="1">
      <alignment vertical="center" shrinkToFit="1"/>
    </xf>
    <xf numFmtId="179" fontId="9" fillId="0" borderId="6" xfId="2" applyNumberFormat="1" applyFont="1" applyBorder="1" applyAlignment="1">
      <alignment vertical="center" shrinkToFit="1"/>
    </xf>
    <xf numFmtId="176" fontId="9" fillId="0" borderId="1" xfId="2" applyNumberFormat="1" applyFont="1" applyBorder="1" applyAlignment="1">
      <alignment horizontal="right" vertical="center" shrinkToFit="1"/>
    </xf>
    <xf numFmtId="178" fontId="9" fillId="0" borderId="1" xfId="2" applyNumberFormat="1" applyFont="1" applyBorder="1" applyAlignment="1">
      <alignment horizontal="right" vertical="center" shrinkToFit="1"/>
    </xf>
    <xf numFmtId="178" fontId="9" fillId="0" borderId="5" xfId="2" applyNumberFormat="1" applyFont="1" applyFill="1" applyBorder="1" applyAlignment="1">
      <alignment horizontal="center" vertical="center" shrinkToFit="1"/>
    </xf>
    <xf numFmtId="178" fontId="9" fillId="0" borderId="6" xfId="2" applyNumberFormat="1" applyFont="1" applyFill="1" applyBorder="1" applyAlignment="1">
      <alignment horizontal="center" vertical="center" shrinkToFit="1"/>
    </xf>
    <xf numFmtId="178" fontId="9" fillId="0" borderId="5" xfId="2" applyNumberFormat="1" applyFont="1" applyBorder="1" applyAlignment="1">
      <alignment horizontal="center" vertical="center" shrinkToFit="1"/>
    </xf>
    <xf numFmtId="178" fontId="9" fillId="0" borderId="6" xfId="2" applyNumberFormat="1" applyFont="1" applyBorder="1" applyAlignment="1">
      <alignment horizontal="center" vertical="center" shrinkToFit="1"/>
    </xf>
    <xf numFmtId="176" fontId="3" fillId="3" borderId="5" xfId="2" applyNumberFormat="1" applyFont="1" applyFill="1" applyBorder="1" applyAlignment="1">
      <alignment horizontal="center" vertical="center" shrinkToFit="1"/>
    </xf>
    <xf numFmtId="176" fontId="3" fillId="3" borderId="6" xfId="2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176" fontId="9" fillId="0" borderId="1" xfId="0" applyNumberFormat="1" applyFont="1" applyBorder="1" applyAlignment="1">
      <alignment horizontal="center" vertical="center" shrinkToFit="1"/>
    </xf>
    <xf numFmtId="20" fontId="9" fillId="0" borderId="7" xfId="0" applyNumberFormat="1" applyFont="1" applyBorder="1" applyAlignment="1">
      <alignment vertical="center"/>
    </xf>
    <xf numFmtId="20" fontId="9" fillId="0" borderId="6" xfId="0" applyNumberFormat="1" applyFont="1" applyBorder="1" applyAlignment="1">
      <alignment vertical="center"/>
    </xf>
    <xf numFmtId="20" fontId="9" fillId="0" borderId="7" xfId="0" quotePrefix="1" applyNumberFormat="1" applyFont="1" applyBorder="1" applyAlignment="1">
      <alignment vertical="center"/>
    </xf>
    <xf numFmtId="20" fontId="9" fillId="0" borderId="6" xfId="0" quotePrefix="1" applyNumberFormat="1" applyFont="1" applyBorder="1" applyAlignment="1">
      <alignment vertical="center"/>
    </xf>
    <xf numFmtId="20" fontId="9" fillId="0" borderId="35" xfId="0" quotePrefix="1" applyNumberFormat="1" applyFont="1" applyBorder="1" applyAlignment="1">
      <alignment vertical="center"/>
    </xf>
    <xf numFmtId="20" fontId="9" fillId="0" borderId="36" xfId="0" quotePrefix="1" applyNumberFormat="1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3" xfId="0" applyFont="1" applyBorder="1" applyAlignment="1">
      <alignment horizontal="center" vertical="center" shrinkToFit="1"/>
    </xf>
    <xf numFmtId="176" fontId="9" fillId="0" borderId="3" xfId="0" applyNumberFormat="1" applyFont="1" applyBorder="1" applyAlignment="1">
      <alignment horizontal="center" vertical="center" shrinkToFit="1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19" xfId="0" applyFont="1" applyBorder="1" applyAlignment="1">
      <alignment horizontal="center" vertical="center" textRotation="255" wrapText="1"/>
    </xf>
    <xf numFmtId="0" fontId="9" fillId="0" borderId="20" xfId="0" applyFont="1" applyBorder="1" applyAlignment="1">
      <alignment horizontal="center" vertical="center" textRotation="255" wrapText="1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3" fillId="0" borderId="1" xfId="7" applyFont="1" applyBorder="1" applyAlignment="1">
      <alignment horizontal="center" vertical="center"/>
    </xf>
    <xf numFmtId="176" fontId="3" fillId="0" borderId="1" xfId="2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right" vertical="center"/>
    </xf>
    <xf numFmtId="0" fontId="3" fillId="0" borderId="1" xfId="6" applyFont="1" applyBorder="1" applyAlignment="1">
      <alignment horizontal="center" vertical="center" wrapText="1" shrinkToFit="1"/>
    </xf>
  </cellXfs>
  <cellStyles count="8">
    <cellStyle name="20% - 輔色5_工程估驗計價-鋼筋材料" xfId="5"/>
    <cellStyle name="一般" xfId="0" builtinId="0"/>
    <cellStyle name="一般 2" xfId="1"/>
    <cellStyle name="一般_士林中洲區民活動中心整修工程合約價" xfId="7"/>
    <cellStyle name="一般_汐止明德案(重估)" xfId="6"/>
    <cellStyle name="千分位" xfId="2" builtinId="3"/>
    <cellStyle name="好" xfId="3" builtinId="26"/>
    <cellStyle name="警告文字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353378</xdr:colOff>
      <xdr:row>47</xdr:row>
      <xdr:rowOff>257175</xdr:rowOff>
    </xdr:from>
    <xdr:to>
      <xdr:col>16</xdr:col>
      <xdr:colOff>353378</xdr:colOff>
      <xdr:row>48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xmlns="" id="{DC3805C6-C386-4234-8201-504B108D783F}"/>
            </a:ext>
          </a:extLst>
        </xdr:cNvPr>
        <xdr:cNvCxnSpPr/>
      </xdr:nvCxnSpPr>
      <xdr:spPr>
        <a:xfrm>
          <a:off x="8325803" y="15916275"/>
          <a:ext cx="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210138</xdr:colOff>
      <xdr:row>55</xdr:row>
      <xdr:rowOff>0</xdr:rowOff>
    </xdr:from>
    <xdr:to>
      <xdr:col>11</xdr:col>
      <xdr:colOff>210138</xdr:colOff>
      <xdr:row>55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xmlns="" id="{BCEA3953-A756-4F42-B685-1F372E6411D6}"/>
            </a:ext>
          </a:extLst>
        </xdr:cNvPr>
        <xdr:cNvCxnSpPr/>
      </xdr:nvCxnSpPr>
      <xdr:spPr>
        <a:xfrm>
          <a:off x="5782263" y="184308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353378</xdr:colOff>
      <xdr:row>47</xdr:row>
      <xdr:rowOff>257175</xdr:rowOff>
    </xdr:from>
    <xdr:to>
      <xdr:col>16</xdr:col>
      <xdr:colOff>353378</xdr:colOff>
      <xdr:row>48</xdr:row>
      <xdr:rowOff>0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C5B1C0B2-424B-4A6F-B7A5-85F6B2E75682}"/>
            </a:ext>
          </a:extLst>
        </xdr:cNvPr>
        <xdr:cNvCxnSpPr/>
      </xdr:nvCxnSpPr>
      <xdr:spPr>
        <a:xfrm>
          <a:off x="8325803" y="15916275"/>
          <a:ext cx="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210138</xdr:colOff>
      <xdr:row>55</xdr:row>
      <xdr:rowOff>0</xdr:rowOff>
    </xdr:from>
    <xdr:to>
      <xdr:col>11</xdr:col>
      <xdr:colOff>210138</xdr:colOff>
      <xdr:row>55</xdr:row>
      <xdr:rowOff>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xmlns="" id="{07E6049C-99DF-4802-9105-E06EAD1EEE57}"/>
            </a:ext>
          </a:extLst>
        </xdr:cNvPr>
        <xdr:cNvCxnSpPr/>
      </xdr:nvCxnSpPr>
      <xdr:spPr>
        <a:xfrm>
          <a:off x="5782263" y="184308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52</xdr:row>
      <xdr:rowOff>0</xdr:rowOff>
    </xdr:from>
    <xdr:to>
      <xdr:col>3</xdr:col>
      <xdr:colOff>180975</xdr:colOff>
      <xdr:row>52</xdr:row>
      <xdr:rowOff>5925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xmlns="" id="{9311A9DB-93D6-4A22-A106-06ADEF5A9C82}"/>
            </a:ext>
          </a:extLst>
        </xdr:cNvPr>
        <xdr:cNvCxnSpPr/>
      </xdr:nvCxnSpPr>
      <xdr:spPr>
        <a:xfrm>
          <a:off x="1847850" y="17002125"/>
          <a:ext cx="0" cy="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52</xdr:row>
      <xdr:rowOff>0</xdr:rowOff>
    </xdr:from>
    <xdr:to>
      <xdr:col>6</xdr:col>
      <xdr:colOff>180975</xdr:colOff>
      <xdr:row>52</xdr:row>
      <xdr:rowOff>5925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xmlns="" id="{0948E5A7-3BA8-4A28-A86C-954664CABC32}"/>
            </a:ext>
          </a:extLst>
        </xdr:cNvPr>
        <xdr:cNvCxnSpPr/>
      </xdr:nvCxnSpPr>
      <xdr:spPr>
        <a:xfrm>
          <a:off x="2819400" y="17002125"/>
          <a:ext cx="0" cy="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329712</xdr:colOff>
      <xdr:row>52</xdr:row>
      <xdr:rowOff>0</xdr:rowOff>
    </xdr:from>
    <xdr:to>
      <xdr:col>9</xdr:col>
      <xdr:colOff>329712</xdr:colOff>
      <xdr:row>52</xdr:row>
      <xdr:rowOff>2945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xmlns="" id="{A1AA049D-AAC8-48FF-B4B3-36E2C8211EA7}"/>
            </a:ext>
          </a:extLst>
        </xdr:cNvPr>
        <xdr:cNvCxnSpPr/>
      </xdr:nvCxnSpPr>
      <xdr:spPr>
        <a:xfrm>
          <a:off x="4406412" y="17002125"/>
          <a:ext cx="0" cy="29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520212</xdr:colOff>
      <xdr:row>52</xdr:row>
      <xdr:rowOff>0</xdr:rowOff>
    </xdr:from>
    <xdr:to>
      <xdr:col>10</xdr:col>
      <xdr:colOff>520212</xdr:colOff>
      <xdr:row>52</xdr:row>
      <xdr:rowOff>5925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xmlns="" id="{6FFC2398-DEE8-4746-AF34-6AB2E4E08841}"/>
            </a:ext>
          </a:extLst>
        </xdr:cNvPr>
        <xdr:cNvCxnSpPr/>
      </xdr:nvCxnSpPr>
      <xdr:spPr>
        <a:xfrm>
          <a:off x="5387487" y="17002125"/>
          <a:ext cx="0" cy="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790283</xdr:colOff>
      <xdr:row>52</xdr:row>
      <xdr:rowOff>0</xdr:rowOff>
    </xdr:from>
    <xdr:to>
      <xdr:col>11</xdr:col>
      <xdr:colOff>790283</xdr:colOff>
      <xdr:row>52</xdr:row>
      <xdr:rowOff>5926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xmlns="" id="{9712DC18-B032-4632-BEE2-E1814D01861F}"/>
            </a:ext>
          </a:extLst>
        </xdr:cNvPr>
        <xdr:cNvCxnSpPr/>
      </xdr:nvCxnSpPr>
      <xdr:spPr>
        <a:xfrm>
          <a:off x="6362408" y="17002125"/>
          <a:ext cx="0" cy="5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263769</xdr:colOff>
      <xdr:row>52</xdr:row>
      <xdr:rowOff>0</xdr:rowOff>
    </xdr:from>
    <xdr:to>
      <xdr:col>14</xdr:col>
      <xdr:colOff>263769</xdr:colOff>
      <xdr:row>52</xdr:row>
      <xdr:rowOff>17719</xdr:rowOff>
    </xdr:to>
    <xdr:cxnSp macro="">
      <xdr:nvCxnSpPr>
        <xdr:cNvPr id="11" name="直線接點 10">
          <a:extLst>
            <a:ext uri="{FF2B5EF4-FFF2-40B4-BE49-F238E27FC236}">
              <a16:creationId xmlns:a16="http://schemas.microsoft.com/office/drawing/2014/main" xmlns="" id="{7515CDD7-67B0-4836-802F-6C6695B798B4}"/>
            </a:ext>
          </a:extLst>
        </xdr:cNvPr>
        <xdr:cNvCxnSpPr/>
      </xdr:nvCxnSpPr>
      <xdr:spPr>
        <a:xfrm>
          <a:off x="7397994" y="17002125"/>
          <a:ext cx="0" cy="177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48</xdr:row>
      <xdr:rowOff>0</xdr:rowOff>
    </xdr:from>
    <xdr:to>
      <xdr:col>0</xdr:col>
      <xdr:colOff>1</xdr:colOff>
      <xdr:row>49</xdr:row>
      <xdr:rowOff>0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xmlns="" id="{E6ED90A5-BFA9-4D83-AC6D-C2D9681193DF}"/>
            </a:ext>
          </a:extLst>
        </xdr:cNvPr>
        <xdr:cNvCxnSpPr/>
      </xdr:nvCxnSpPr>
      <xdr:spPr>
        <a:xfrm>
          <a:off x="1" y="15925800"/>
          <a:ext cx="0" cy="2762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49</xdr:row>
      <xdr:rowOff>0</xdr:rowOff>
    </xdr:from>
    <xdr:to>
      <xdr:col>9</xdr:col>
      <xdr:colOff>419100</xdr:colOff>
      <xdr:row>52</xdr:row>
      <xdr:rowOff>0</xdr:rowOff>
    </xdr:to>
    <xdr:cxnSp macro="">
      <xdr:nvCxnSpPr>
        <xdr:cNvPr id="13" name="直線接點 12">
          <a:extLst>
            <a:ext uri="{FF2B5EF4-FFF2-40B4-BE49-F238E27FC236}">
              <a16:creationId xmlns:a16="http://schemas.microsoft.com/office/drawing/2014/main" xmlns="" id="{D9626CB3-2FCD-4BAB-BEB2-6AE8D56AE52A}"/>
            </a:ext>
          </a:extLst>
        </xdr:cNvPr>
        <xdr:cNvCxnSpPr/>
      </xdr:nvCxnSpPr>
      <xdr:spPr>
        <a:xfrm>
          <a:off x="4495800" y="16202025"/>
          <a:ext cx="0" cy="800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353378</xdr:colOff>
      <xdr:row>58</xdr:row>
      <xdr:rowOff>257175</xdr:rowOff>
    </xdr:from>
    <xdr:to>
      <xdr:col>16</xdr:col>
      <xdr:colOff>353378</xdr:colOff>
      <xdr:row>59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xmlns="" id="{DC3805C6-C386-4234-8201-504B108D783F}"/>
            </a:ext>
          </a:extLst>
        </xdr:cNvPr>
        <xdr:cNvCxnSpPr/>
      </xdr:nvCxnSpPr>
      <xdr:spPr>
        <a:xfrm>
          <a:off x="8325803" y="12449175"/>
          <a:ext cx="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210138</xdr:colOff>
      <xdr:row>66</xdr:row>
      <xdr:rowOff>0</xdr:rowOff>
    </xdr:from>
    <xdr:to>
      <xdr:col>11</xdr:col>
      <xdr:colOff>210138</xdr:colOff>
      <xdr:row>66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xmlns="" id="{BCEA3953-A756-4F42-B685-1F372E6411D6}"/>
            </a:ext>
          </a:extLst>
        </xdr:cNvPr>
        <xdr:cNvCxnSpPr/>
      </xdr:nvCxnSpPr>
      <xdr:spPr>
        <a:xfrm>
          <a:off x="5782263" y="149637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353378</xdr:colOff>
      <xdr:row>58</xdr:row>
      <xdr:rowOff>257175</xdr:rowOff>
    </xdr:from>
    <xdr:to>
      <xdr:col>16</xdr:col>
      <xdr:colOff>353378</xdr:colOff>
      <xdr:row>59</xdr:row>
      <xdr:rowOff>0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C5B1C0B2-424B-4A6F-B7A5-85F6B2E75682}"/>
            </a:ext>
          </a:extLst>
        </xdr:cNvPr>
        <xdr:cNvCxnSpPr/>
      </xdr:nvCxnSpPr>
      <xdr:spPr>
        <a:xfrm>
          <a:off x="8325803" y="12449175"/>
          <a:ext cx="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210138</xdr:colOff>
      <xdr:row>66</xdr:row>
      <xdr:rowOff>0</xdr:rowOff>
    </xdr:from>
    <xdr:to>
      <xdr:col>11</xdr:col>
      <xdr:colOff>210138</xdr:colOff>
      <xdr:row>66</xdr:row>
      <xdr:rowOff>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xmlns="" id="{07E6049C-99DF-4802-9105-E06EAD1EEE57}"/>
            </a:ext>
          </a:extLst>
        </xdr:cNvPr>
        <xdr:cNvCxnSpPr/>
      </xdr:nvCxnSpPr>
      <xdr:spPr>
        <a:xfrm>
          <a:off x="5782263" y="149637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63</xdr:row>
      <xdr:rowOff>0</xdr:rowOff>
    </xdr:from>
    <xdr:to>
      <xdr:col>3</xdr:col>
      <xdr:colOff>180975</xdr:colOff>
      <xdr:row>63</xdr:row>
      <xdr:rowOff>5925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xmlns="" id="{9311A9DB-93D6-4A22-A106-06ADEF5A9C82}"/>
            </a:ext>
          </a:extLst>
        </xdr:cNvPr>
        <xdr:cNvCxnSpPr/>
      </xdr:nvCxnSpPr>
      <xdr:spPr>
        <a:xfrm>
          <a:off x="1847850" y="13535025"/>
          <a:ext cx="0" cy="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63</xdr:row>
      <xdr:rowOff>0</xdr:rowOff>
    </xdr:from>
    <xdr:to>
      <xdr:col>6</xdr:col>
      <xdr:colOff>180975</xdr:colOff>
      <xdr:row>63</xdr:row>
      <xdr:rowOff>5925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xmlns="" id="{0948E5A7-3BA8-4A28-A86C-954664CABC32}"/>
            </a:ext>
          </a:extLst>
        </xdr:cNvPr>
        <xdr:cNvCxnSpPr/>
      </xdr:nvCxnSpPr>
      <xdr:spPr>
        <a:xfrm>
          <a:off x="2819400" y="13535025"/>
          <a:ext cx="0" cy="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329712</xdr:colOff>
      <xdr:row>63</xdr:row>
      <xdr:rowOff>0</xdr:rowOff>
    </xdr:from>
    <xdr:to>
      <xdr:col>9</xdr:col>
      <xdr:colOff>329712</xdr:colOff>
      <xdr:row>63</xdr:row>
      <xdr:rowOff>2945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xmlns="" id="{A1AA049D-AAC8-48FF-B4B3-36E2C8211EA7}"/>
            </a:ext>
          </a:extLst>
        </xdr:cNvPr>
        <xdr:cNvCxnSpPr/>
      </xdr:nvCxnSpPr>
      <xdr:spPr>
        <a:xfrm>
          <a:off x="4406412" y="13535025"/>
          <a:ext cx="0" cy="29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520212</xdr:colOff>
      <xdr:row>63</xdr:row>
      <xdr:rowOff>0</xdr:rowOff>
    </xdr:from>
    <xdr:to>
      <xdr:col>10</xdr:col>
      <xdr:colOff>520212</xdr:colOff>
      <xdr:row>63</xdr:row>
      <xdr:rowOff>5925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xmlns="" id="{6FFC2398-DEE8-4746-AF34-6AB2E4E08841}"/>
            </a:ext>
          </a:extLst>
        </xdr:cNvPr>
        <xdr:cNvCxnSpPr/>
      </xdr:nvCxnSpPr>
      <xdr:spPr>
        <a:xfrm>
          <a:off x="5387487" y="13535025"/>
          <a:ext cx="0" cy="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790283</xdr:colOff>
      <xdr:row>63</xdr:row>
      <xdr:rowOff>0</xdr:rowOff>
    </xdr:from>
    <xdr:to>
      <xdr:col>11</xdr:col>
      <xdr:colOff>790283</xdr:colOff>
      <xdr:row>63</xdr:row>
      <xdr:rowOff>5926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xmlns="" id="{9712DC18-B032-4632-BEE2-E1814D01861F}"/>
            </a:ext>
          </a:extLst>
        </xdr:cNvPr>
        <xdr:cNvCxnSpPr/>
      </xdr:nvCxnSpPr>
      <xdr:spPr>
        <a:xfrm>
          <a:off x="6362408" y="13535025"/>
          <a:ext cx="0" cy="5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263769</xdr:colOff>
      <xdr:row>63</xdr:row>
      <xdr:rowOff>0</xdr:rowOff>
    </xdr:from>
    <xdr:to>
      <xdr:col>14</xdr:col>
      <xdr:colOff>263769</xdr:colOff>
      <xdr:row>63</xdr:row>
      <xdr:rowOff>17719</xdr:rowOff>
    </xdr:to>
    <xdr:cxnSp macro="">
      <xdr:nvCxnSpPr>
        <xdr:cNvPr id="11" name="直線接點 10">
          <a:extLst>
            <a:ext uri="{FF2B5EF4-FFF2-40B4-BE49-F238E27FC236}">
              <a16:creationId xmlns:a16="http://schemas.microsoft.com/office/drawing/2014/main" xmlns="" id="{7515CDD7-67B0-4836-802F-6C6695B798B4}"/>
            </a:ext>
          </a:extLst>
        </xdr:cNvPr>
        <xdr:cNvCxnSpPr/>
      </xdr:nvCxnSpPr>
      <xdr:spPr>
        <a:xfrm>
          <a:off x="7397994" y="13535025"/>
          <a:ext cx="0" cy="177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59</xdr:row>
      <xdr:rowOff>0</xdr:rowOff>
    </xdr:from>
    <xdr:to>
      <xdr:col>0</xdr:col>
      <xdr:colOff>1</xdr:colOff>
      <xdr:row>60</xdr:row>
      <xdr:rowOff>0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xmlns="" id="{E6ED90A5-BFA9-4D83-AC6D-C2D9681193DF}"/>
            </a:ext>
          </a:extLst>
        </xdr:cNvPr>
        <xdr:cNvCxnSpPr/>
      </xdr:nvCxnSpPr>
      <xdr:spPr>
        <a:xfrm>
          <a:off x="1" y="12458700"/>
          <a:ext cx="0" cy="2762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60</xdr:row>
      <xdr:rowOff>0</xdr:rowOff>
    </xdr:from>
    <xdr:to>
      <xdr:col>9</xdr:col>
      <xdr:colOff>419100</xdr:colOff>
      <xdr:row>63</xdr:row>
      <xdr:rowOff>0</xdr:rowOff>
    </xdr:to>
    <xdr:cxnSp macro="">
      <xdr:nvCxnSpPr>
        <xdr:cNvPr id="13" name="直線接點 12">
          <a:extLst>
            <a:ext uri="{FF2B5EF4-FFF2-40B4-BE49-F238E27FC236}">
              <a16:creationId xmlns:a16="http://schemas.microsoft.com/office/drawing/2014/main" xmlns="" id="{D9626CB3-2FCD-4BAB-BEB2-6AE8D56AE52A}"/>
            </a:ext>
          </a:extLst>
        </xdr:cNvPr>
        <xdr:cNvCxnSpPr/>
      </xdr:nvCxnSpPr>
      <xdr:spPr>
        <a:xfrm>
          <a:off x="4495800" y="12734925"/>
          <a:ext cx="0" cy="800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55"/>
  <sheetViews>
    <sheetView tabSelected="1" view="pageBreakPreview" topLeftCell="A13" zoomScale="85" zoomScaleNormal="100" zoomScaleSheetLayoutView="85" workbookViewId="0">
      <selection activeCell="K7" sqref="K7"/>
    </sheetView>
  </sheetViews>
  <sheetFormatPr defaultColWidth="9" defaultRowHeight="21" customHeight="1" x14ac:dyDescent="0.25"/>
  <cols>
    <col min="1" max="1" width="7.375" style="52" customWidth="1"/>
    <col min="2" max="2" width="10.125" style="66" customWidth="1"/>
    <col min="3" max="3" width="4.375" style="66" customWidth="1"/>
    <col min="4" max="4" width="5.625" style="66" customWidth="1"/>
    <col min="5" max="5" width="5.5" style="66" customWidth="1"/>
    <col min="6" max="6" width="3.875" style="66" customWidth="1"/>
    <col min="7" max="7" width="6.875" style="66" bestFit="1" customWidth="1"/>
    <col min="8" max="8" width="4.875" style="66" customWidth="1"/>
    <col min="9" max="9" width="8.5" style="66" customWidth="1"/>
    <col min="10" max="10" width="10.375" style="66" customWidth="1"/>
    <col min="11" max="11" width="9.25" style="66" customWidth="1"/>
    <col min="12" max="12" width="11.75" style="66" customWidth="1"/>
    <col min="13" max="13" width="6.625" style="66" customWidth="1"/>
    <col min="14" max="14" width="2.25" style="66" customWidth="1"/>
    <col min="15" max="15" width="4.625" style="66" customWidth="1"/>
    <col min="16" max="16" width="7.625" style="66" customWidth="1"/>
    <col min="17" max="17" width="6.125" style="66" customWidth="1"/>
    <col min="18" max="18" width="3" style="66" customWidth="1"/>
    <col min="19" max="19" width="6.25" style="66" customWidth="1"/>
    <col min="20" max="20" width="4.375" style="66" customWidth="1"/>
    <col min="21" max="16384" width="9" style="66"/>
  </cols>
  <sheetData>
    <row r="1" spans="1:22" ht="30.75" customHeight="1" x14ac:dyDescent="0.25">
      <c r="A1" s="98" t="s">
        <v>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2" ht="18.75" customHeight="1" x14ac:dyDescent="0.25">
      <c r="N2" s="66" t="s">
        <v>2</v>
      </c>
      <c r="O2" s="66" t="s">
        <v>3</v>
      </c>
      <c r="P2" s="39" t="s">
        <v>78</v>
      </c>
      <c r="Q2" s="52">
        <v>6</v>
      </c>
      <c r="R2" s="39" t="s">
        <v>4</v>
      </c>
      <c r="S2" s="52">
        <v>16</v>
      </c>
      <c r="T2" s="66" t="s">
        <v>5</v>
      </c>
    </row>
    <row r="3" spans="1:22" ht="18.75" customHeight="1" x14ac:dyDescent="0.25">
      <c r="P3" s="39" t="s">
        <v>78</v>
      </c>
      <c r="Q3" s="52">
        <v>11</v>
      </c>
      <c r="R3" s="39" t="s">
        <v>4</v>
      </c>
      <c r="S3" s="52">
        <v>20</v>
      </c>
      <c r="T3" s="66" t="s">
        <v>5</v>
      </c>
    </row>
    <row r="4" spans="1:22" ht="18.75" customHeight="1" x14ac:dyDescent="0.25">
      <c r="A4" s="99" t="s">
        <v>52</v>
      </c>
      <c r="B4" s="99"/>
      <c r="C4" s="99"/>
      <c r="D4" s="99"/>
      <c r="E4" s="99"/>
      <c r="F4" s="99"/>
      <c r="G4" s="99"/>
      <c r="R4" s="39" t="s">
        <v>6</v>
      </c>
      <c r="S4" s="52">
        <v>1</v>
      </c>
      <c r="T4" s="39" t="s">
        <v>7</v>
      </c>
    </row>
    <row r="5" spans="1:22" ht="21.75" customHeight="1" x14ac:dyDescent="0.25">
      <c r="A5" s="87" t="s">
        <v>8</v>
      </c>
      <c r="B5" s="100" t="s">
        <v>79</v>
      </c>
      <c r="C5" s="101"/>
      <c r="D5" s="101"/>
      <c r="E5" s="101"/>
      <c r="F5" s="101"/>
      <c r="G5" s="102"/>
      <c r="H5" s="87" t="s">
        <v>9</v>
      </c>
      <c r="I5" s="87"/>
      <c r="J5" s="95" t="s">
        <v>80</v>
      </c>
      <c r="K5" s="96"/>
      <c r="L5" s="97"/>
      <c r="M5" s="95" t="s">
        <v>10</v>
      </c>
      <c r="N5" s="96"/>
      <c r="O5" s="96"/>
      <c r="P5" s="96"/>
      <c r="Q5" s="96"/>
      <c r="R5" s="96"/>
      <c r="S5" s="96"/>
      <c r="T5" s="97"/>
    </row>
    <row r="6" spans="1:22" ht="21" customHeight="1" x14ac:dyDescent="0.25">
      <c r="A6" s="87"/>
      <c r="B6" s="103"/>
      <c r="C6" s="104"/>
      <c r="D6" s="104"/>
      <c r="E6" s="104"/>
      <c r="F6" s="104"/>
      <c r="G6" s="105"/>
      <c r="H6" s="87" t="s">
        <v>11</v>
      </c>
      <c r="I6" s="87"/>
      <c r="J6" s="48" t="s">
        <v>6</v>
      </c>
      <c r="K6" s="49">
        <v>2</v>
      </c>
      <c r="L6" s="54" t="s">
        <v>12</v>
      </c>
      <c r="M6" s="50" t="s">
        <v>53</v>
      </c>
      <c r="N6" s="109">
        <v>1</v>
      </c>
      <c r="O6" s="109"/>
      <c r="P6" s="51" t="s">
        <v>13</v>
      </c>
      <c r="Q6" s="55" t="s">
        <v>75</v>
      </c>
      <c r="R6" s="55"/>
      <c r="S6" s="68"/>
      <c r="T6" s="59" t="s">
        <v>13</v>
      </c>
    </row>
    <row r="7" spans="1:22" ht="21" customHeight="1" x14ac:dyDescent="0.25">
      <c r="A7" s="87"/>
      <c r="B7" s="106"/>
      <c r="C7" s="107"/>
      <c r="D7" s="107"/>
      <c r="E7" s="107"/>
      <c r="F7" s="107"/>
      <c r="G7" s="108"/>
      <c r="H7" s="87" t="s">
        <v>14</v>
      </c>
      <c r="I7" s="87"/>
      <c r="J7" s="56" t="s">
        <v>15</v>
      </c>
      <c r="K7" s="7" t="s">
        <v>54</v>
      </c>
      <c r="L7" s="56" t="s">
        <v>16</v>
      </c>
      <c r="M7" s="62" t="s">
        <v>55</v>
      </c>
      <c r="N7" s="86"/>
      <c r="O7" s="86"/>
      <c r="P7" s="63" t="s">
        <v>13</v>
      </c>
      <c r="Q7" s="67" t="s">
        <v>76</v>
      </c>
      <c r="R7" s="67"/>
      <c r="S7" s="63">
        <v>1</v>
      </c>
      <c r="T7" s="64" t="s">
        <v>13</v>
      </c>
    </row>
    <row r="8" spans="1:22" ht="21" customHeight="1" x14ac:dyDescent="0.25">
      <c r="A8" s="87" t="s">
        <v>0</v>
      </c>
      <c r="B8" s="88" t="s">
        <v>17</v>
      </c>
      <c r="C8" s="89"/>
      <c r="D8" s="89"/>
      <c r="E8" s="89"/>
      <c r="F8" s="90"/>
      <c r="G8" s="87" t="s">
        <v>18</v>
      </c>
      <c r="H8" s="87"/>
      <c r="I8" s="87"/>
      <c r="J8" s="87"/>
      <c r="K8" s="94" t="s">
        <v>19</v>
      </c>
      <c r="L8" s="94"/>
      <c r="M8" s="95" t="s">
        <v>20</v>
      </c>
      <c r="N8" s="96"/>
      <c r="O8" s="96"/>
      <c r="P8" s="97"/>
      <c r="Q8" s="110" t="s">
        <v>21</v>
      </c>
      <c r="R8" s="111"/>
      <c r="S8" s="111"/>
      <c r="T8" s="112"/>
    </row>
    <row r="9" spans="1:22" ht="21" customHeight="1" x14ac:dyDescent="0.25">
      <c r="A9" s="87"/>
      <c r="B9" s="91"/>
      <c r="C9" s="92"/>
      <c r="D9" s="92"/>
      <c r="E9" s="92"/>
      <c r="F9" s="93"/>
      <c r="G9" s="56" t="s">
        <v>22</v>
      </c>
      <c r="H9" s="56" t="s">
        <v>23</v>
      </c>
      <c r="I9" s="56" t="s">
        <v>24</v>
      </c>
      <c r="J9" s="56" t="s">
        <v>25</v>
      </c>
      <c r="K9" s="65" t="s">
        <v>22</v>
      </c>
      <c r="L9" s="65" t="s">
        <v>25</v>
      </c>
      <c r="M9" s="87" t="s">
        <v>22</v>
      </c>
      <c r="N9" s="87"/>
      <c r="O9" s="87" t="s">
        <v>25</v>
      </c>
      <c r="P9" s="87"/>
      <c r="Q9" s="113" t="s">
        <v>22</v>
      </c>
      <c r="R9" s="113"/>
      <c r="S9" s="113" t="s">
        <v>25</v>
      </c>
      <c r="T9" s="113"/>
    </row>
    <row r="10" spans="1:22" ht="21" customHeight="1" x14ac:dyDescent="0.25">
      <c r="A10" s="166">
        <v>1</v>
      </c>
      <c r="B10" s="80" t="s">
        <v>81</v>
      </c>
      <c r="C10" s="81"/>
      <c r="D10" s="81"/>
      <c r="E10" s="81"/>
      <c r="F10" s="82"/>
      <c r="G10" s="167">
        <v>575</v>
      </c>
      <c r="H10" s="168" t="s">
        <v>82</v>
      </c>
      <c r="I10" s="167">
        <v>1000</v>
      </c>
      <c r="J10" s="169"/>
      <c r="K10" s="47">
        <v>575</v>
      </c>
      <c r="L10" s="57">
        <f>K10*I10</f>
        <v>575000</v>
      </c>
      <c r="M10" s="114"/>
      <c r="N10" s="115"/>
      <c r="O10" s="85">
        <f>M10*I10</f>
        <v>0</v>
      </c>
      <c r="P10" s="85"/>
      <c r="Q10" s="116">
        <f>M10+K10</f>
        <v>575</v>
      </c>
      <c r="R10" s="116"/>
      <c r="S10" s="79">
        <f>O10+L10</f>
        <v>575000</v>
      </c>
      <c r="T10" s="79"/>
      <c r="V10" s="66">
        <v>550</v>
      </c>
    </row>
    <row r="11" spans="1:22" ht="21" customHeight="1" x14ac:dyDescent="0.25">
      <c r="A11" s="170"/>
      <c r="B11" s="80"/>
      <c r="C11" s="81"/>
      <c r="D11" s="81"/>
      <c r="E11" s="81"/>
      <c r="F11" s="82"/>
      <c r="G11" s="167"/>
      <c r="H11" s="168"/>
      <c r="I11" s="167"/>
      <c r="J11" s="169"/>
      <c r="K11" s="47"/>
      <c r="L11" s="57"/>
      <c r="M11" s="83"/>
      <c r="N11" s="84"/>
      <c r="O11" s="85"/>
      <c r="P11" s="85"/>
      <c r="Q11" s="117"/>
      <c r="R11" s="117"/>
      <c r="S11" s="79">
        <f>O11+L11</f>
        <v>0</v>
      </c>
      <c r="T11" s="79"/>
      <c r="V11" s="66">
        <v>24</v>
      </c>
    </row>
    <row r="12" spans="1:22" ht="21" customHeight="1" x14ac:dyDescent="0.25">
      <c r="A12" s="166"/>
      <c r="B12" s="80"/>
      <c r="C12" s="81"/>
      <c r="D12" s="81"/>
      <c r="E12" s="81"/>
      <c r="F12" s="82"/>
      <c r="G12" s="167"/>
      <c r="H12" s="168"/>
      <c r="I12" s="167"/>
      <c r="J12" s="169"/>
      <c r="K12" s="47"/>
      <c r="L12" s="57"/>
      <c r="M12" s="83"/>
      <c r="N12" s="84"/>
      <c r="O12" s="85"/>
      <c r="P12" s="85"/>
      <c r="Q12" s="78"/>
      <c r="R12" s="78"/>
      <c r="S12" s="79">
        <f t="shared" ref="S12:S21" si="0">O12+L12</f>
        <v>0</v>
      </c>
      <c r="T12" s="79"/>
      <c r="V12" s="66">
        <v>21.5</v>
      </c>
    </row>
    <row r="13" spans="1:22" ht="21" customHeight="1" x14ac:dyDescent="0.25">
      <c r="A13" s="75"/>
      <c r="B13" s="80"/>
      <c r="C13" s="81"/>
      <c r="D13" s="81"/>
      <c r="E13" s="81"/>
      <c r="F13" s="82"/>
      <c r="G13" s="70"/>
      <c r="H13" s="69"/>
      <c r="I13" s="70"/>
      <c r="J13" s="73"/>
      <c r="K13" s="47"/>
      <c r="L13" s="57"/>
      <c r="M13" s="83"/>
      <c r="N13" s="84"/>
      <c r="O13" s="85"/>
      <c r="P13" s="85"/>
      <c r="Q13" s="78"/>
      <c r="R13" s="78"/>
      <c r="S13" s="79">
        <f t="shared" si="0"/>
        <v>0</v>
      </c>
      <c r="T13" s="79"/>
    </row>
    <row r="14" spans="1:22" ht="21" customHeight="1" x14ac:dyDescent="0.25">
      <c r="A14" s="74"/>
      <c r="B14" s="80"/>
      <c r="C14" s="81"/>
      <c r="D14" s="81"/>
      <c r="E14" s="81"/>
      <c r="F14" s="82"/>
      <c r="G14" s="70"/>
      <c r="H14" s="69"/>
      <c r="I14" s="70"/>
      <c r="J14" s="73"/>
      <c r="K14" s="47"/>
      <c r="L14" s="57"/>
      <c r="M14" s="118"/>
      <c r="N14" s="119"/>
      <c r="O14" s="85"/>
      <c r="P14" s="85"/>
      <c r="Q14" s="78"/>
      <c r="R14" s="78"/>
      <c r="S14" s="79">
        <f t="shared" si="0"/>
        <v>0</v>
      </c>
      <c r="T14" s="79"/>
      <c r="V14" s="66">
        <v>436.5</v>
      </c>
    </row>
    <row r="15" spans="1:22" ht="21" customHeight="1" x14ac:dyDescent="0.25">
      <c r="A15" s="75"/>
      <c r="B15" s="80"/>
      <c r="C15" s="81"/>
      <c r="D15" s="81"/>
      <c r="E15" s="81"/>
      <c r="F15" s="82"/>
      <c r="G15" s="70"/>
      <c r="H15" s="69"/>
      <c r="I15" s="70"/>
      <c r="J15" s="73"/>
      <c r="K15" s="47"/>
      <c r="L15" s="57"/>
      <c r="M15" s="120"/>
      <c r="N15" s="121"/>
      <c r="O15" s="85"/>
      <c r="P15" s="85"/>
      <c r="Q15" s="78"/>
      <c r="R15" s="78"/>
      <c r="S15" s="79">
        <f t="shared" si="0"/>
        <v>0</v>
      </c>
      <c r="T15" s="79"/>
      <c r="V15" s="66">
        <v>2</v>
      </c>
    </row>
    <row r="16" spans="1:22" ht="21" customHeight="1" x14ac:dyDescent="0.25">
      <c r="A16" s="74"/>
      <c r="B16" s="80"/>
      <c r="C16" s="81"/>
      <c r="D16" s="81"/>
      <c r="E16" s="81"/>
      <c r="F16" s="82"/>
      <c r="G16" s="70"/>
      <c r="H16" s="69"/>
      <c r="I16" s="70"/>
      <c r="J16" s="73"/>
      <c r="K16" s="47"/>
      <c r="L16" s="57"/>
      <c r="M16" s="120"/>
      <c r="N16" s="121"/>
      <c r="O16" s="85"/>
      <c r="P16" s="85"/>
      <c r="Q16" s="78"/>
      <c r="R16" s="78"/>
      <c r="S16" s="79">
        <f t="shared" si="0"/>
        <v>0</v>
      </c>
      <c r="T16" s="79"/>
      <c r="V16" s="66">
        <v>73</v>
      </c>
    </row>
    <row r="17" spans="1:22" ht="21" customHeight="1" x14ac:dyDescent="0.25">
      <c r="A17" s="75"/>
      <c r="B17" s="80"/>
      <c r="C17" s="81"/>
      <c r="D17" s="81"/>
      <c r="E17" s="81"/>
      <c r="F17" s="82"/>
      <c r="G17" s="70"/>
      <c r="H17" s="69"/>
      <c r="I17" s="70"/>
      <c r="J17" s="73"/>
      <c r="K17" s="47"/>
      <c r="L17" s="57"/>
      <c r="M17" s="120"/>
      <c r="N17" s="121"/>
      <c r="O17" s="76"/>
      <c r="P17" s="77"/>
      <c r="Q17" s="78"/>
      <c r="R17" s="78"/>
      <c r="S17" s="79">
        <f t="shared" si="0"/>
        <v>0</v>
      </c>
      <c r="T17" s="79"/>
      <c r="V17" s="66">
        <v>3</v>
      </c>
    </row>
    <row r="18" spans="1:22" ht="21" customHeight="1" x14ac:dyDescent="0.25">
      <c r="A18" s="75"/>
      <c r="B18" s="80"/>
      <c r="C18" s="81"/>
      <c r="D18" s="81"/>
      <c r="E18" s="81"/>
      <c r="F18" s="82"/>
      <c r="G18" s="70"/>
      <c r="H18" s="69"/>
      <c r="I18" s="70"/>
      <c r="J18" s="73"/>
      <c r="K18" s="57"/>
      <c r="L18" s="57"/>
      <c r="M18" s="76"/>
      <c r="N18" s="77"/>
      <c r="O18" s="76"/>
      <c r="P18" s="77"/>
      <c r="Q18" s="122"/>
      <c r="R18" s="123"/>
      <c r="S18" s="79">
        <f t="shared" si="0"/>
        <v>0</v>
      </c>
      <c r="T18" s="79"/>
    </row>
    <row r="19" spans="1:22" ht="21" customHeight="1" x14ac:dyDescent="0.25">
      <c r="A19" s="75"/>
      <c r="B19" s="80"/>
      <c r="C19" s="81"/>
      <c r="D19" s="81"/>
      <c r="E19" s="81"/>
      <c r="F19" s="82"/>
      <c r="G19" s="70"/>
      <c r="H19" s="69"/>
      <c r="I19" s="70"/>
      <c r="J19" s="73"/>
      <c r="K19" s="57"/>
      <c r="L19" s="57"/>
      <c r="M19" s="76"/>
      <c r="N19" s="77"/>
      <c r="O19" s="76"/>
      <c r="P19" s="77"/>
      <c r="Q19" s="122"/>
      <c r="R19" s="123"/>
      <c r="S19" s="79">
        <f t="shared" si="0"/>
        <v>0</v>
      </c>
      <c r="T19" s="79"/>
    </row>
    <row r="20" spans="1:22" ht="21" customHeight="1" x14ac:dyDescent="0.25">
      <c r="A20" s="74"/>
      <c r="B20" s="80"/>
      <c r="C20" s="81"/>
      <c r="D20" s="81"/>
      <c r="E20" s="81"/>
      <c r="F20" s="82"/>
      <c r="G20" s="70"/>
      <c r="H20" s="69"/>
      <c r="I20" s="70"/>
      <c r="J20" s="73"/>
      <c r="K20" s="57"/>
      <c r="L20" s="57"/>
      <c r="M20" s="76"/>
      <c r="N20" s="77"/>
      <c r="O20" s="76"/>
      <c r="P20" s="77"/>
      <c r="Q20" s="122"/>
      <c r="R20" s="123"/>
      <c r="S20" s="79">
        <f t="shared" si="0"/>
        <v>0</v>
      </c>
      <c r="T20" s="79"/>
    </row>
    <row r="21" spans="1:22" ht="21" customHeight="1" x14ac:dyDescent="0.25">
      <c r="A21" s="75"/>
      <c r="B21" s="80"/>
      <c r="C21" s="81"/>
      <c r="D21" s="81"/>
      <c r="E21" s="81"/>
      <c r="F21" s="82"/>
      <c r="G21" s="70"/>
      <c r="H21" s="69"/>
      <c r="I21" s="70"/>
      <c r="J21" s="73"/>
      <c r="K21" s="57"/>
      <c r="L21" s="57"/>
      <c r="M21" s="76"/>
      <c r="N21" s="77"/>
      <c r="O21" s="76"/>
      <c r="P21" s="77"/>
      <c r="Q21" s="122"/>
      <c r="R21" s="123"/>
      <c r="S21" s="79">
        <f t="shared" si="0"/>
        <v>0</v>
      </c>
      <c r="T21" s="79"/>
    </row>
    <row r="22" spans="1:22" ht="21" customHeight="1" x14ac:dyDescent="0.25">
      <c r="A22" s="75"/>
      <c r="B22" s="80"/>
      <c r="C22" s="81"/>
      <c r="D22" s="81"/>
      <c r="E22" s="81"/>
      <c r="F22" s="82"/>
      <c r="G22" s="70"/>
      <c r="H22" s="69"/>
      <c r="I22" s="70"/>
      <c r="J22" s="73"/>
      <c r="K22" s="57"/>
      <c r="L22" s="57"/>
      <c r="M22" s="76"/>
      <c r="N22" s="77"/>
      <c r="O22" s="76"/>
      <c r="P22" s="77"/>
      <c r="Q22" s="60"/>
      <c r="R22" s="61"/>
      <c r="S22" s="60"/>
      <c r="T22" s="61"/>
    </row>
    <row r="23" spans="1:22" ht="21" customHeight="1" x14ac:dyDescent="0.25">
      <c r="A23" s="75"/>
      <c r="B23" s="80"/>
      <c r="C23" s="81"/>
      <c r="D23" s="81"/>
      <c r="E23" s="81"/>
      <c r="F23" s="82"/>
      <c r="G23" s="70"/>
      <c r="H23" s="69"/>
      <c r="I23" s="70"/>
      <c r="J23" s="73"/>
      <c r="K23" s="57"/>
      <c r="L23" s="57"/>
      <c r="M23" s="76"/>
      <c r="N23" s="77"/>
      <c r="O23" s="76"/>
      <c r="P23" s="77"/>
      <c r="Q23" s="60"/>
      <c r="R23" s="61"/>
      <c r="S23" s="60"/>
      <c r="T23" s="61"/>
    </row>
    <row r="24" spans="1:22" ht="21" customHeight="1" x14ac:dyDescent="0.25">
      <c r="A24" s="75"/>
      <c r="B24" s="80"/>
      <c r="C24" s="81"/>
      <c r="D24" s="81"/>
      <c r="E24" s="81"/>
      <c r="F24" s="82"/>
      <c r="G24" s="71"/>
      <c r="H24" s="69"/>
      <c r="I24" s="70"/>
      <c r="J24" s="73"/>
      <c r="K24" s="57"/>
      <c r="L24" s="57"/>
      <c r="M24" s="76"/>
      <c r="N24" s="77"/>
      <c r="O24" s="76"/>
      <c r="P24" s="77"/>
      <c r="Q24" s="60"/>
      <c r="R24" s="61"/>
      <c r="S24" s="60"/>
      <c r="T24" s="61"/>
    </row>
    <row r="25" spans="1:22" ht="21" customHeight="1" x14ac:dyDescent="0.25">
      <c r="A25" s="75"/>
      <c r="B25" s="80"/>
      <c r="C25" s="81"/>
      <c r="D25" s="81"/>
      <c r="E25" s="81"/>
      <c r="F25" s="82"/>
      <c r="G25" s="70"/>
      <c r="H25" s="69"/>
      <c r="I25" s="70"/>
      <c r="J25" s="73"/>
      <c r="K25" s="57"/>
      <c r="L25" s="57"/>
      <c r="M25" s="76"/>
      <c r="N25" s="77"/>
      <c r="O25" s="76"/>
      <c r="P25" s="77"/>
      <c r="Q25" s="60"/>
      <c r="R25" s="61"/>
      <c r="S25" s="60"/>
      <c r="T25" s="61"/>
    </row>
    <row r="26" spans="1:22" ht="21" customHeight="1" x14ac:dyDescent="0.25">
      <c r="A26" s="75"/>
      <c r="B26" s="80"/>
      <c r="C26" s="81"/>
      <c r="D26" s="81"/>
      <c r="E26" s="81"/>
      <c r="F26" s="82"/>
      <c r="G26" s="70"/>
      <c r="H26" s="69"/>
      <c r="I26" s="70"/>
      <c r="J26" s="73"/>
      <c r="K26" s="57"/>
      <c r="L26" s="57"/>
      <c r="M26" s="76"/>
      <c r="N26" s="77"/>
      <c r="O26" s="76"/>
      <c r="P26" s="77"/>
      <c r="Q26" s="60"/>
      <c r="R26" s="61"/>
      <c r="S26" s="60"/>
      <c r="T26" s="61"/>
    </row>
    <row r="27" spans="1:22" ht="21" customHeight="1" x14ac:dyDescent="0.25">
      <c r="A27" s="74"/>
      <c r="B27" s="80"/>
      <c r="C27" s="81"/>
      <c r="D27" s="81"/>
      <c r="E27" s="81"/>
      <c r="F27" s="82"/>
      <c r="G27" s="70"/>
      <c r="H27" s="69"/>
      <c r="I27" s="70"/>
      <c r="J27" s="73"/>
      <c r="K27" s="57"/>
      <c r="L27" s="57"/>
      <c r="M27" s="76"/>
      <c r="N27" s="77"/>
      <c r="O27" s="76"/>
      <c r="P27" s="77"/>
      <c r="Q27" s="60"/>
      <c r="R27" s="61"/>
      <c r="S27" s="60"/>
      <c r="T27" s="61"/>
    </row>
    <row r="28" spans="1:22" ht="21" customHeight="1" x14ac:dyDescent="0.25">
      <c r="A28" s="75"/>
      <c r="B28" s="80"/>
      <c r="C28" s="81"/>
      <c r="D28" s="81"/>
      <c r="E28" s="81"/>
      <c r="F28" s="82"/>
      <c r="G28" s="72"/>
      <c r="H28" s="69"/>
      <c r="I28" s="70"/>
      <c r="J28" s="73"/>
      <c r="K28" s="57"/>
      <c r="L28" s="57"/>
      <c r="M28" s="76"/>
      <c r="N28" s="77"/>
      <c r="O28" s="76"/>
      <c r="P28" s="77"/>
      <c r="Q28" s="60"/>
      <c r="R28" s="61"/>
      <c r="S28" s="60"/>
      <c r="T28" s="61"/>
    </row>
    <row r="29" spans="1:22" ht="21" customHeight="1" x14ac:dyDescent="0.25">
      <c r="A29" s="75"/>
      <c r="B29" s="80"/>
      <c r="C29" s="81"/>
      <c r="D29" s="81"/>
      <c r="E29" s="81"/>
      <c r="F29" s="82"/>
      <c r="G29" s="72"/>
      <c r="H29" s="69"/>
      <c r="I29" s="70"/>
      <c r="J29" s="73"/>
      <c r="K29" s="57"/>
      <c r="L29" s="57"/>
      <c r="M29" s="76"/>
      <c r="N29" s="77"/>
      <c r="O29" s="76"/>
      <c r="P29" s="77"/>
      <c r="Q29" s="122"/>
      <c r="R29" s="123"/>
      <c r="S29" s="122">
        <f t="shared" ref="S29:S30" si="1">O29+L29</f>
        <v>0</v>
      </c>
      <c r="T29" s="123"/>
    </row>
    <row r="30" spans="1:22" ht="21" customHeight="1" x14ac:dyDescent="0.25">
      <c r="A30" s="95" t="s">
        <v>26</v>
      </c>
      <c r="B30" s="96"/>
      <c r="C30" s="96"/>
      <c r="D30" s="96"/>
      <c r="E30" s="96"/>
      <c r="F30" s="97"/>
      <c r="G30" s="1"/>
      <c r="H30" s="1"/>
      <c r="I30" s="8"/>
      <c r="J30" s="57">
        <f>SUM(J10:J29)</f>
        <v>0</v>
      </c>
      <c r="K30" s="57"/>
      <c r="L30" s="57">
        <f>SUM(L10:L29)</f>
        <v>575000</v>
      </c>
      <c r="M30" s="85"/>
      <c r="N30" s="85"/>
      <c r="O30" s="85">
        <f>SUM(O10:P29)</f>
        <v>0</v>
      </c>
      <c r="P30" s="85"/>
      <c r="Q30" s="85"/>
      <c r="R30" s="85"/>
      <c r="S30" s="122">
        <f t="shared" si="1"/>
        <v>575000</v>
      </c>
      <c r="T30" s="123"/>
    </row>
    <row r="31" spans="1:22" ht="21" customHeight="1" x14ac:dyDescent="0.25">
      <c r="A31" s="48" t="s">
        <v>27</v>
      </c>
      <c r="B31" s="58" t="s">
        <v>56</v>
      </c>
      <c r="C31" s="49">
        <v>10</v>
      </c>
      <c r="D31" s="38" t="s">
        <v>28</v>
      </c>
      <c r="E31" s="96"/>
      <c r="F31" s="96"/>
      <c r="G31" s="96"/>
      <c r="H31" s="96"/>
      <c r="I31" s="96"/>
      <c r="J31" s="97"/>
      <c r="K31" s="1"/>
      <c r="L31" s="57">
        <f>-L30*0.1</f>
        <v>-57500</v>
      </c>
      <c r="M31" s="124"/>
      <c r="N31" s="124"/>
      <c r="O31" s="125">
        <f>L30*0.1</f>
        <v>57500</v>
      </c>
      <c r="P31" s="124"/>
      <c r="Q31" s="124"/>
      <c r="R31" s="124"/>
      <c r="S31" s="85">
        <f>O31+L31</f>
        <v>0</v>
      </c>
      <c r="T31" s="85"/>
    </row>
    <row r="32" spans="1:22" ht="21" customHeight="1" x14ac:dyDescent="0.25">
      <c r="A32" s="48" t="s">
        <v>29</v>
      </c>
      <c r="B32" s="126" t="s">
        <v>57</v>
      </c>
      <c r="C32" s="126"/>
      <c r="D32" s="126"/>
      <c r="E32" s="126"/>
      <c r="F32" s="126"/>
      <c r="G32" s="126"/>
      <c r="H32" s="126"/>
      <c r="I32" s="126"/>
      <c r="J32" s="127"/>
      <c r="K32" s="1"/>
      <c r="L32" s="57"/>
      <c r="M32" s="124"/>
      <c r="N32" s="124"/>
      <c r="O32" s="125"/>
      <c r="P32" s="125"/>
      <c r="Q32" s="124"/>
      <c r="R32" s="124"/>
      <c r="S32" s="85"/>
      <c r="T32" s="85"/>
    </row>
    <row r="33" spans="1:20" ht="21" customHeight="1" x14ac:dyDescent="0.25">
      <c r="A33" s="48" t="s">
        <v>30</v>
      </c>
      <c r="B33" s="126" t="s">
        <v>58</v>
      </c>
      <c r="C33" s="126"/>
      <c r="D33" s="126"/>
      <c r="E33" s="126"/>
      <c r="F33" s="126"/>
      <c r="G33" s="126"/>
      <c r="H33" s="126"/>
      <c r="I33" s="126"/>
      <c r="J33" s="127"/>
      <c r="K33" s="1"/>
      <c r="L33" s="57"/>
      <c r="M33" s="124"/>
      <c r="N33" s="124"/>
      <c r="O33" s="125"/>
      <c r="P33" s="125"/>
      <c r="Q33" s="124"/>
      <c r="R33" s="124"/>
      <c r="S33" s="85"/>
      <c r="T33" s="85"/>
    </row>
    <row r="34" spans="1:20" ht="21" customHeight="1" x14ac:dyDescent="0.25">
      <c r="A34" s="48" t="s">
        <v>59</v>
      </c>
      <c r="B34" s="128"/>
      <c r="C34" s="128"/>
      <c r="D34" s="128"/>
      <c r="E34" s="128"/>
      <c r="F34" s="128"/>
      <c r="G34" s="128"/>
      <c r="H34" s="128"/>
      <c r="I34" s="128"/>
      <c r="J34" s="129"/>
      <c r="K34" s="1"/>
      <c r="L34" s="57"/>
      <c r="M34" s="124"/>
      <c r="N34" s="124"/>
      <c r="O34" s="124"/>
      <c r="P34" s="124"/>
      <c r="Q34" s="124"/>
      <c r="R34" s="124"/>
      <c r="S34" s="85">
        <f t="shared" ref="S34:S37" si="2">O34+L34</f>
        <v>0</v>
      </c>
      <c r="T34" s="85"/>
    </row>
    <row r="35" spans="1:20" ht="21" customHeight="1" x14ac:dyDescent="0.25">
      <c r="A35" s="48" t="s">
        <v>31</v>
      </c>
      <c r="B35" s="126"/>
      <c r="C35" s="126"/>
      <c r="D35" s="126"/>
      <c r="E35" s="126"/>
      <c r="F35" s="126"/>
      <c r="G35" s="126"/>
      <c r="H35" s="126"/>
      <c r="I35" s="126"/>
      <c r="J35" s="127"/>
      <c r="K35" s="1"/>
      <c r="L35" s="57"/>
      <c r="M35" s="124"/>
      <c r="N35" s="124"/>
      <c r="O35" s="124"/>
      <c r="P35" s="124"/>
      <c r="Q35" s="124"/>
      <c r="R35" s="124"/>
      <c r="S35" s="85">
        <f t="shared" si="2"/>
        <v>0</v>
      </c>
      <c r="T35" s="85"/>
    </row>
    <row r="36" spans="1:20" ht="21" customHeight="1" x14ac:dyDescent="0.25">
      <c r="A36" s="48" t="s">
        <v>29</v>
      </c>
      <c r="B36" s="128"/>
      <c r="C36" s="128"/>
      <c r="D36" s="128"/>
      <c r="E36" s="128"/>
      <c r="F36" s="128"/>
      <c r="G36" s="128"/>
      <c r="H36" s="128"/>
      <c r="I36" s="128"/>
      <c r="J36" s="129"/>
      <c r="K36" s="1"/>
      <c r="L36" s="57"/>
      <c r="M36" s="124"/>
      <c r="N36" s="124"/>
      <c r="O36" s="124"/>
      <c r="P36" s="124"/>
      <c r="Q36" s="124"/>
      <c r="R36" s="124"/>
      <c r="S36" s="85">
        <f t="shared" si="2"/>
        <v>0</v>
      </c>
      <c r="T36" s="85"/>
    </row>
    <row r="37" spans="1:20" ht="21" customHeight="1" thickBot="1" x14ac:dyDescent="0.3">
      <c r="A37" s="48" t="s">
        <v>60</v>
      </c>
      <c r="B37" s="130"/>
      <c r="C37" s="130"/>
      <c r="D37" s="130"/>
      <c r="E37" s="130"/>
      <c r="F37" s="130"/>
      <c r="G37" s="130"/>
      <c r="H37" s="130"/>
      <c r="I37" s="130"/>
      <c r="J37" s="131"/>
      <c r="K37" s="1"/>
      <c r="L37" s="57"/>
      <c r="M37" s="124"/>
      <c r="N37" s="124"/>
      <c r="O37" s="124"/>
      <c r="P37" s="124"/>
      <c r="Q37" s="124"/>
      <c r="R37" s="124"/>
      <c r="S37" s="85">
        <f t="shared" si="2"/>
        <v>0</v>
      </c>
      <c r="T37" s="85"/>
    </row>
    <row r="38" spans="1:20" ht="21" customHeight="1" thickTop="1" thickBot="1" x14ac:dyDescent="0.3">
      <c r="A38" s="132" t="s">
        <v>32</v>
      </c>
      <c r="B38" s="133" t="s">
        <v>33</v>
      </c>
      <c r="C38" s="133">
        <v>5</v>
      </c>
      <c r="D38" s="133" t="s">
        <v>28</v>
      </c>
      <c r="E38" s="133"/>
      <c r="F38" s="133"/>
      <c r="G38" s="133"/>
      <c r="H38" s="133"/>
      <c r="I38" s="133"/>
      <c r="J38" s="134"/>
      <c r="K38" s="10"/>
      <c r="L38" s="57">
        <f>L30*0.05</f>
        <v>28750</v>
      </c>
      <c r="M38" s="124"/>
      <c r="N38" s="124"/>
      <c r="O38" s="125">
        <f>ROUND(SUM(O30:P37)*0.05,0)</f>
        <v>2875</v>
      </c>
      <c r="P38" s="124"/>
      <c r="Q38" s="124"/>
      <c r="R38" s="124"/>
      <c r="S38" s="85">
        <f>O38+L38</f>
        <v>31625</v>
      </c>
      <c r="T38" s="85"/>
    </row>
    <row r="39" spans="1:20" ht="21" customHeight="1" thickTop="1" thickBot="1" x14ac:dyDescent="0.3">
      <c r="A39" s="132" t="s">
        <v>34</v>
      </c>
      <c r="B39" s="133"/>
      <c r="C39" s="133"/>
      <c r="D39" s="133"/>
      <c r="E39" s="133"/>
      <c r="F39" s="133"/>
      <c r="G39" s="133"/>
      <c r="H39" s="133"/>
      <c r="I39" s="133"/>
      <c r="J39" s="134"/>
      <c r="K39" s="9"/>
      <c r="L39" s="57">
        <f>SUM(L30:L38)</f>
        <v>546250</v>
      </c>
      <c r="M39" s="135"/>
      <c r="N39" s="135"/>
      <c r="O39" s="136">
        <f>SUM(O30:P38)</f>
        <v>60375</v>
      </c>
      <c r="P39" s="135"/>
      <c r="Q39" s="135"/>
      <c r="R39" s="135"/>
      <c r="S39" s="85">
        <f>O39+L39</f>
        <v>606625</v>
      </c>
      <c r="T39" s="85"/>
    </row>
    <row r="40" spans="1:20" ht="23.25" customHeight="1" thickTop="1" x14ac:dyDescent="0.25">
      <c r="A40" s="137" t="s">
        <v>35</v>
      </c>
      <c r="B40" s="138"/>
      <c r="C40" s="138"/>
      <c r="D40" s="138"/>
      <c r="E40" s="138"/>
      <c r="F40" s="139"/>
      <c r="G40" s="140" t="s">
        <v>61</v>
      </c>
      <c r="H40" s="141"/>
      <c r="I40" s="97" t="s">
        <v>36</v>
      </c>
      <c r="J40" s="87"/>
      <c r="K40" s="87"/>
      <c r="L40" s="87" t="s">
        <v>37</v>
      </c>
      <c r="M40" s="87"/>
      <c r="N40" s="87"/>
      <c r="O40" s="87"/>
      <c r="P40" s="87" t="s">
        <v>38</v>
      </c>
      <c r="Q40" s="87"/>
      <c r="R40" s="87" t="s">
        <v>39</v>
      </c>
      <c r="S40" s="87"/>
      <c r="T40" s="87"/>
    </row>
    <row r="41" spans="1:20" ht="23.25" customHeight="1" x14ac:dyDescent="0.25">
      <c r="A41" s="2" t="s">
        <v>40</v>
      </c>
      <c r="B41" s="49" t="s">
        <v>41</v>
      </c>
      <c r="C41" s="3">
        <v>50</v>
      </c>
      <c r="D41" s="49" t="s">
        <v>42</v>
      </c>
      <c r="E41" s="4"/>
      <c r="F41" s="4"/>
      <c r="G41" s="140"/>
      <c r="H41" s="141"/>
      <c r="I41" s="9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</row>
    <row r="42" spans="1:20" ht="23.25" customHeight="1" x14ac:dyDescent="0.25">
      <c r="A42" s="2" t="s">
        <v>40</v>
      </c>
      <c r="B42" s="49" t="s">
        <v>44</v>
      </c>
      <c r="C42" s="3">
        <v>50</v>
      </c>
      <c r="D42" s="49" t="s">
        <v>42</v>
      </c>
      <c r="E42" s="3">
        <v>30</v>
      </c>
      <c r="F42" s="4" t="s">
        <v>62</v>
      </c>
      <c r="G42" s="140"/>
      <c r="H42" s="141"/>
      <c r="I42" s="9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</row>
    <row r="43" spans="1:20" ht="23.25" customHeight="1" x14ac:dyDescent="0.25">
      <c r="A43" s="2" t="s">
        <v>63</v>
      </c>
      <c r="B43" s="49" t="s">
        <v>45</v>
      </c>
      <c r="C43" s="3"/>
      <c r="D43" s="49" t="s">
        <v>42</v>
      </c>
      <c r="E43" s="4"/>
      <c r="F43" s="4"/>
      <c r="G43" s="140"/>
      <c r="H43" s="141"/>
      <c r="I43" s="9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</row>
    <row r="44" spans="1:20" ht="23.25" customHeight="1" x14ac:dyDescent="0.25">
      <c r="A44" s="2" t="s">
        <v>40</v>
      </c>
      <c r="B44" s="49" t="s">
        <v>46</v>
      </c>
      <c r="C44" s="5" t="s">
        <v>43</v>
      </c>
      <c r="D44" s="97" t="s">
        <v>47</v>
      </c>
      <c r="E44" s="87"/>
      <c r="F44" s="95"/>
      <c r="G44" s="140"/>
      <c r="H44" s="141"/>
      <c r="I44" s="9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</row>
    <row r="45" spans="1:20" ht="21" customHeight="1" x14ac:dyDescent="0.25">
      <c r="A45" s="151" t="s">
        <v>48</v>
      </c>
      <c r="B45" s="100" t="s">
        <v>84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2"/>
      <c r="R45" s="152" t="s">
        <v>74</v>
      </c>
      <c r="S45" s="153"/>
      <c r="T45" s="154"/>
    </row>
    <row r="46" spans="1:20" ht="21" customHeight="1" x14ac:dyDescent="0.25">
      <c r="A46" s="151"/>
      <c r="B46" s="155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7"/>
      <c r="R46" s="158"/>
      <c r="S46" s="159"/>
      <c r="T46" s="160"/>
    </row>
    <row r="47" spans="1:20" ht="21" customHeight="1" x14ac:dyDescent="0.25">
      <c r="A47" s="151"/>
      <c r="B47" s="155" t="s">
        <v>77</v>
      </c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7"/>
      <c r="R47" s="158"/>
      <c r="S47" s="159"/>
      <c r="T47" s="160"/>
    </row>
    <row r="48" spans="1:20" ht="21" customHeight="1" x14ac:dyDescent="0.25">
      <c r="A48" s="151"/>
      <c r="B48" s="164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165"/>
      <c r="R48" s="161"/>
      <c r="S48" s="162"/>
      <c r="T48" s="163"/>
    </row>
    <row r="49" spans="1:20" ht="21.75" customHeight="1" x14ac:dyDescent="0.25">
      <c r="A49" s="150" t="s">
        <v>67</v>
      </c>
      <c r="B49" s="97"/>
      <c r="C49" s="95" t="s">
        <v>85</v>
      </c>
      <c r="D49" s="96"/>
      <c r="E49" s="97"/>
      <c r="F49" s="95" t="s">
        <v>69</v>
      </c>
      <c r="G49" s="96"/>
      <c r="H49" s="97"/>
      <c r="I49" s="95" t="s">
        <v>70</v>
      </c>
      <c r="J49" s="96"/>
      <c r="K49" s="97"/>
      <c r="L49" s="56" t="s">
        <v>71</v>
      </c>
      <c r="M49" s="95" t="s">
        <v>72</v>
      </c>
      <c r="N49" s="96"/>
      <c r="O49" s="97"/>
      <c r="P49" s="95" t="s">
        <v>73</v>
      </c>
      <c r="Q49" s="97"/>
      <c r="R49" s="95" t="s">
        <v>66</v>
      </c>
      <c r="S49" s="96"/>
      <c r="T49" s="142"/>
    </row>
    <row r="50" spans="1:20" ht="21" customHeight="1" x14ac:dyDescent="0.25">
      <c r="A50" s="40"/>
      <c r="B50" s="59"/>
      <c r="C50" s="51"/>
      <c r="D50" s="51"/>
      <c r="E50" s="59"/>
      <c r="F50" s="51"/>
      <c r="G50" s="51"/>
      <c r="H50" s="59"/>
      <c r="I50" s="51"/>
      <c r="J50" s="51"/>
      <c r="K50" s="59"/>
      <c r="L50" s="36"/>
      <c r="M50" s="51"/>
      <c r="N50" s="51"/>
      <c r="O50" s="59"/>
      <c r="P50" s="51"/>
      <c r="Q50" s="59"/>
      <c r="R50" s="88"/>
      <c r="S50" s="89"/>
      <c r="T50" s="143"/>
    </row>
    <row r="51" spans="1:20" ht="21" customHeight="1" x14ac:dyDescent="0.25">
      <c r="A51" s="41"/>
      <c r="B51" s="37"/>
      <c r="C51" s="52"/>
      <c r="D51" s="52"/>
      <c r="E51" s="37"/>
      <c r="F51" s="52"/>
      <c r="G51" s="52"/>
      <c r="H51" s="37"/>
      <c r="I51" s="52"/>
      <c r="J51" s="52"/>
      <c r="K51" s="37"/>
      <c r="L51" s="11"/>
      <c r="M51" s="52"/>
      <c r="N51" s="52"/>
      <c r="O51" s="37"/>
      <c r="P51" s="52"/>
      <c r="Q51" s="37"/>
      <c r="R51" s="144"/>
      <c r="S51" s="145"/>
      <c r="T51" s="146"/>
    </row>
    <row r="52" spans="1:20" ht="21" customHeight="1" thickBot="1" x14ac:dyDescent="0.3">
      <c r="A52" s="42"/>
      <c r="B52" s="12"/>
      <c r="C52" s="53"/>
      <c r="D52" s="53"/>
      <c r="E52" s="12"/>
      <c r="F52" s="53"/>
      <c r="G52" s="53"/>
      <c r="H52" s="12"/>
      <c r="I52" s="53"/>
      <c r="J52" s="53"/>
      <c r="K52" s="12"/>
      <c r="L52" s="13"/>
      <c r="M52" s="53"/>
      <c r="N52" s="53"/>
      <c r="O52" s="12"/>
      <c r="P52" s="53"/>
      <c r="Q52" s="12"/>
      <c r="R52" s="147"/>
      <c r="S52" s="148"/>
      <c r="T52" s="149"/>
    </row>
    <row r="53" spans="1:20" ht="17.25" customHeight="1" x14ac:dyDescent="0.25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</row>
    <row r="54" spans="1:20" ht="74.25" customHeight="1" x14ac:dyDescent="0.25">
      <c r="A54" s="14"/>
      <c r="B54" s="15" t="s">
        <v>64</v>
      </c>
      <c r="F54" s="6" t="s">
        <v>65</v>
      </c>
      <c r="G54" s="6"/>
      <c r="J54" s="15" t="s">
        <v>49</v>
      </c>
      <c r="L54" s="14" t="s">
        <v>50</v>
      </c>
      <c r="M54" s="6"/>
      <c r="N54" s="6"/>
      <c r="Q54" s="6" t="s">
        <v>51</v>
      </c>
      <c r="R54" s="6"/>
    </row>
    <row r="55" spans="1:20" ht="21" customHeight="1" x14ac:dyDescent="0.25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</row>
  </sheetData>
  <mergeCells count="195">
    <mergeCell ref="R49:T49"/>
    <mergeCell ref="R50:T52"/>
    <mergeCell ref="A49:B49"/>
    <mergeCell ref="C49:E49"/>
    <mergeCell ref="F49:H49"/>
    <mergeCell ref="I49:K49"/>
    <mergeCell ref="M49:O49"/>
    <mergeCell ref="P49:Q49"/>
    <mergeCell ref="A45:A48"/>
    <mergeCell ref="B45:Q45"/>
    <mergeCell ref="R45:T45"/>
    <mergeCell ref="B46:Q46"/>
    <mergeCell ref="R46:T48"/>
    <mergeCell ref="B47:Q47"/>
    <mergeCell ref="B48:Q48"/>
    <mergeCell ref="I43:K43"/>
    <mergeCell ref="L43:O43"/>
    <mergeCell ref="P43:Q43"/>
    <mergeCell ref="R43:T43"/>
    <mergeCell ref="D44:F44"/>
    <mergeCell ref="I44:K44"/>
    <mergeCell ref="L44:O44"/>
    <mergeCell ref="P44:Q44"/>
    <mergeCell ref="R44:T44"/>
    <mergeCell ref="R40:T40"/>
    <mergeCell ref="I41:K41"/>
    <mergeCell ref="L41:O41"/>
    <mergeCell ref="P41:Q41"/>
    <mergeCell ref="R41:T41"/>
    <mergeCell ref="I42:K42"/>
    <mergeCell ref="L42:O42"/>
    <mergeCell ref="P42:Q42"/>
    <mergeCell ref="R42:T42"/>
    <mergeCell ref="A39:J39"/>
    <mergeCell ref="M39:N39"/>
    <mergeCell ref="O39:P39"/>
    <mergeCell ref="Q39:R39"/>
    <mergeCell ref="S39:T39"/>
    <mergeCell ref="A40:F40"/>
    <mergeCell ref="G40:H44"/>
    <mergeCell ref="I40:K40"/>
    <mergeCell ref="L40:O40"/>
    <mergeCell ref="P40:Q40"/>
    <mergeCell ref="B37:J37"/>
    <mergeCell ref="M37:N37"/>
    <mergeCell ref="O37:P37"/>
    <mergeCell ref="Q37:R37"/>
    <mergeCell ref="S37:T37"/>
    <mergeCell ref="A38:J38"/>
    <mergeCell ref="M38:N38"/>
    <mergeCell ref="O38:P38"/>
    <mergeCell ref="Q38:R38"/>
    <mergeCell ref="S38:T38"/>
    <mergeCell ref="B35:J35"/>
    <mergeCell ref="M35:N35"/>
    <mergeCell ref="O35:P35"/>
    <mergeCell ref="Q35:R35"/>
    <mergeCell ref="S35:T35"/>
    <mergeCell ref="B36:J36"/>
    <mergeCell ref="M36:N36"/>
    <mergeCell ref="O36:P36"/>
    <mergeCell ref="Q36:R36"/>
    <mergeCell ref="S36:T36"/>
    <mergeCell ref="B33:J33"/>
    <mergeCell ref="M33:N33"/>
    <mergeCell ref="O33:P33"/>
    <mergeCell ref="Q33:R33"/>
    <mergeCell ref="S33:T33"/>
    <mergeCell ref="B34:J34"/>
    <mergeCell ref="M34:N34"/>
    <mergeCell ref="O34:P34"/>
    <mergeCell ref="Q34:R34"/>
    <mergeCell ref="S34:T34"/>
    <mergeCell ref="E31:J31"/>
    <mergeCell ref="M31:N31"/>
    <mergeCell ref="O31:P31"/>
    <mergeCell ref="Q31:R31"/>
    <mergeCell ref="S31:T31"/>
    <mergeCell ref="B32:J32"/>
    <mergeCell ref="M32:N32"/>
    <mergeCell ref="O32:P32"/>
    <mergeCell ref="Q32:R32"/>
    <mergeCell ref="S32:T32"/>
    <mergeCell ref="Q29:R29"/>
    <mergeCell ref="S29:T29"/>
    <mergeCell ref="A30:F30"/>
    <mergeCell ref="M30:N30"/>
    <mergeCell ref="O30:P30"/>
    <mergeCell ref="Q30:R30"/>
    <mergeCell ref="S30:T30"/>
    <mergeCell ref="B28:F28"/>
    <mergeCell ref="M28:N28"/>
    <mergeCell ref="O28:P28"/>
    <mergeCell ref="B29:F29"/>
    <mergeCell ref="M29:N29"/>
    <mergeCell ref="O29:P29"/>
    <mergeCell ref="B26:F26"/>
    <mergeCell ref="M26:N26"/>
    <mergeCell ref="O26:P26"/>
    <mergeCell ref="B27:F27"/>
    <mergeCell ref="M27:N27"/>
    <mergeCell ref="O27:P27"/>
    <mergeCell ref="B24:F24"/>
    <mergeCell ref="M24:N24"/>
    <mergeCell ref="O24:P24"/>
    <mergeCell ref="B25:F25"/>
    <mergeCell ref="M25:N25"/>
    <mergeCell ref="O25:P25"/>
    <mergeCell ref="B22:F22"/>
    <mergeCell ref="M22:N22"/>
    <mergeCell ref="O22:P22"/>
    <mergeCell ref="B23:F23"/>
    <mergeCell ref="M23:N23"/>
    <mergeCell ref="O23:P23"/>
    <mergeCell ref="B21:F21"/>
    <mergeCell ref="M21:N21"/>
    <mergeCell ref="O21:P21"/>
    <mergeCell ref="Q21:R21"/>
    <mergeCell ref="S21:T21"/>
    <mergeCell ref="B19:F19"/>
    <mergeCell ref="M19:N19"/>
    <mergeCell ref="O19:P19"/>
    <mergeCell ref="Q19:R19"/>
    <mergeCell ref="S19:T19"/>
    <mergeCell ref="B20:F20"/>
    <mergeCell ref="M20:N20"/>
    <mergeCell ref="O20:P20"/>
    <mergeCell ref="Q20:R20"/>
    <mergeCell ref="S20:T20"/>
    <mergeCell ref="B17:F17"/>
    <mergeCell ref="M17:N17"/>
    <mergeCell ref="O17:P17"/>
    <mergeCell ref="Q17:R17"/>
    <mergeCell ref="S17:T17"/>
    <mergeCell ref="B18:F18"/>
    <mergeCell ref="M18:N18"/>
    <mergeCell ref="O18:P18"/>
    <mergeCell ref="Q18:R18"/>
    <mergeCell ref="S18:T18"/>
    <mergeCell ref="B15:F15"/>
    <mergeCell ref="M15:N15"/>
    <mergeCell ref="O15:P15"/>
    <mergeCell ref="Q15:R15"/>
    <mergeCell ref="S15:T15"/>
    <mergeCell ref="B16:F16"/>
    <mergeCell ref="M16:N16"/>
    <mergeCell ref="O16:P16"/>
    <mergeCell ref="Q16:R16"/>
    <mergeCell ref="S16:T16"/>
    <mergeCell ref="B13:F13"/>
    <mergeCell ref="M13:N13"/>
    <mergeCell ref="O13:P13"/>
    <mergeCell ref="Q13:R13"/>
    <mergeCell ref="S13:T13"/>
    <mergeCell ref="B14:F14"/>
    <mergeCell ref="M14:N14"/>
    <mergeCell ref="O14:P14"/>
    <mergeCell ref="Q14:R14"/>
    <mergeCell ref="S14:T14"/>
    <mergeCell ref="B11:F11"/>
    <mergeCell ref="M11:N11"/>
    <mergeCell ref="O11:P11"/>
    <mergeCell ref="Q11:R11"/>
    <mergeCell ref="S11:T11"/>
    <mergeCell ref="B12:F12"/>
    <mergeCell ref="M12:N12"/>
    <mergeCell ref="O12:P12"/>
    <mergeCell ref="Q12:R12"/>
    <mergeCell ref="S12:T12"/>
    <mergeCell ref="Q8:T8"/>
    <mergeCell ref="M9:N9"/>
    <mergeCell ref="O9:P9"/>
    <mergeCell ref="Q9:R9"/>
    <mergeCell ref="S9:T9"/>
    <mergeCell ref="B10:F10"/>
    <mergeCell ref="M10:N10"/>
    <mergeCell ref="O10:P10"/>
    <mergeCell ref="Q10:R10"/>
    <mergeCell ref="S10:T10"/>
    <mergeCell ref="N7:O7"/>
    <mergeCell ref="A8:A9"/>
    <mergeCell ref="B8:F9"/>
    <mergeCell ref="G8:J8"/>
    <mergeCell ref="K8:L8"/>
    <mergeCell ref="M8:P8"/>
    <mergeCell ref="A1:T1"/>
    <mergeCell ref="A4:G4"/>
    <mergeCell ref="A5:A7"/>
    <mergeCell ref="B5:G7"/>
    <mergeCell ref="H5:I5"/>
    <mergeCell ref="J5:L5"/>
    <mergeCell ref="M5:T5"/>
    <mergeCell ref="H6:I6"/>
    <mergeCell ref="N6:O6"/>
    <mergeCell ref="H7:I7"/>
  </mergeCells>
  <phoneticPr fontId="8" type="noConversion"/>
  <printOptions horizontalCentered="1"/>
  <pageMargins left="0.39370078740157483" right="0.31496062992125984" top="0.39370078740157483" bottom="0.39370078740157483" header="0.39370078740157483" footer="0.39370078740157483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66"/>
  <sheetViews>
    <sheetView view="pageBreakPreview" zoomScale="85" zoomScaleNormal="100" zoomScaleSheetLayoutView="85" workbookViewId="0">
      <selection activeCell="B59" sqref="B59:Q59"/>
    </sheetView>
  </sheetViews>
  <sheetFormatPr defaultColWidth="9" defaultRowHeight="21" customHeight="1" x14ac:dyDescent="0.25"/>
  <cols>
    <col min="1" max="1" width="7.375" style="20" customWidth="1"/>
    <col min="2" max="2" width="10.125" style="33" customWidth="1"/>
    <col min="3" max="3" width="4.375" style="33" customWidth="1"/>
    <col min="4" max="4" width="3.375" style="33" customWidth="1"/>
    <col min="5" max="5" width="5.5" style="33" customWidth="1"/>
    <col min="6" max="6" width="3.875" style="33" customWidth="1"/>
    <col min="7" max="7" width="5.5" style="33" bestFit="1" customWidth="1"/>
    <col min="8" max="8" width="4.875" style="33" customWidth="1"/>
    <col min="9" max="9" width="8.5" style="33" customWidth="1"/>
    <col min="10" max="10" width="10.375" style="33" customWidth="1"/>
    <col min="11" max="11" width="9.25" style="33" customWidth="1"/>
    <col min="12" max="12" width="11.75" style="33" customWidth="1"/>
    <col min="13" max="13" width="6.625" style="33" customWidth="1"/>
    <col min="14" max="14" width="2.25" style="33" customWidth="1"/>
    <col min="15" max="15" width="3.375" style="33" customWidth="1"/>
    <col min="16" max="16" width="7.625" style="33" customWidth="1"/>
    <col min="17" max="17" width="4.5" style="33" customWidth="1"/>
    <col min="18" max="18" width="3" style="33" customWidth="1"/>
    <col min="19" max="19" width="5.5" style="33" customWidth="1"/>
    <col min="20" max="20" width="4.375" style="33" customWidth="1"/>
    <col min="21" max="16384" width="9" style="33"/>
  </cols>
  <sheetData>
    <row r="1" spans="1:22" ht="30.75" customHeight="1" x14ac:dyDescent="0.25">
      <c r="A1" s="98" t="s">
        <v>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2" ht="18.75" customHeight="1" x14ac:dyDescent="0.25">
      <c r="N2" s="33" t="s">
        <v>2</v>
      </c>
      <c r="O2" s="33" t="s">
        <v>3</v>
      </c>
      <c r="P2" s="39" t="s">
        <v>78</v>
      </c>
      <c r="Q2" s="20">
        <v>5</v>
      </c>
      <c r="R2" s="39" t="s">
        <v>4</v>
      </c>
      <c r="S2" s="20">
        <v>15</v>
      </c>
      <c r="T2" s="33" t="s">
        <v>5</v>
      </c>
    </row>
    <row r="3" spans="1:22" ht="18.75" customHeight="1" x14ac:dyDescent="0.25">
      <c r="P3" s="39" t="s">
        <v>78</v>
      </c>
      <c r="Q3" s="20">
        <v>6</v>
      </c>
      <c r="R3" s="39" t="s">
        <v>4</v>
      </c>
      <c r="S3" s="20">
        <v>15</v>
      </c>
      <c r="T3" s="33" t="s">
        <v>5</v>
      </c>
    </row>
    <row r="4" spans="1:22" ht="18.75" customHeight="1" x14ac:dyDescent="0.25">
      <c r="A4" s="99" t="s">
        <v>52</v>
      </c>
      <c r="B4" s="99"/>
      <c r="C4" s="99"/>
      <c r="D4" s="99"/>
      <c r="E4" s="99"/>
      <c r="F4" s="99"/>
      <c r="G4" s="99"/>
      <c r="R4" s="39" t="s">
        <v>6</v>
      </c>
      <c r="S4" s="20">
        <v>1</v>
      </c>
      <c r="T4" s="39" t="s">
        <v>7</v>
      </c>
    </row>
    <row r="5" spans="1:22" ht="21.75" customHeight="1" x14ac:dyDescent="0.25">
      <c r="A5" s="87" t="s">
        <v>8</v>
      </c>
      <c r="B5" s="100" t="s">
        <v>79</v>
      </c>
      <c r="C5" s="101"/>
      <c r="D5" s="101"/>
      <c r="E5" s="101"/>
      <c r="F5" s="101"/>
      <c r="G5" s="102"/>
      <c r="H5" s="87" t="s">
        <v>9</v>
      </c>
      <c r="I5" s="87"/>
      <c r="J5" s="95" t="s">
        <v>80</v>
      </c>
      <c r="K5" s="96"/>
      <c r="L5" s="97"/>
      <c r="M5" s="95" t="s">
        <v>10</v>
      </c>
      <c r="N5" s="96"/>
      <c r="O5" s="96"/>
      <c r="P5" s="96"/>
      <c r="Q5" s="96"/>
      <c r="R5" s="96"/>
      <c r="S5" s="96"/>
      <c r="T5" s="97"/>
    </row>
    <row r="6" spans="1:22" ht="21" customHeight="1" x14ac:dyDescent="0.25">
      <c r="A6" s="87"/>
      <c r="B6" s="103"/>
      <c r="C6" s="104"/>
      <c r="D6" s="104"/>
      <c r="E6" s="104"/>
      <c r="F6" s="104"/>
      <c r="G6" s="105"/>
      <c r="H6" s="87" t="s">
        <v>11</v>
      </c>
      <c r="I6" s="87"/>
      <c r="J6" s="16" t="s">
        <v>6</v>
      </c>
      <c r="K6" s="17">
        <v>1</v>
      </c>
      <c r="L6" s="22" t="s">
        <v>12</v>
      </c>
      <c r="M6" s="18" t="s">
        <v>53</v>
      </c>
      <c r="N6" s="109">
        <v>1</v>
      </c>
      <c r="O6" s="109"/>
      <c r="P6" s="19" t="s">
        <v>13</v>
      </c>
      <c r="Q6" s="23" t="s">
        <v>75</v>
      </c>
      <c r="R6" s="23"/>
      <c r="S6" s="35"/>
      <c r="T6" s="28" t="s">
        <v>13</v>
      </c>
    </row>
    <row r="7" spans="1:22" ht="21" customHeight="1" x14ac:dyDescent="0.25">
      <c r="A7" s="87"/>
      <c r="B7" s="106"/>
      <c r="C7" s="107"/>
      <c r="D7" s="107"/>
      <c r="E7" s="107"/>
      <c r="F7" s="107"/>
      <c r="G7" s="108"/>
      <c r="H7" s="87" t="s">
        <v>14</v>
      </c>
      <c r="I7" s="87"/>
      <c r="J7" s="24" t="s">
        <v>15</v>
      </c>
      <c r="K7" s="7" t="s">
        <v>54</v>
      </c>
      <c r="L7" s="24" t="s">
        <v>16</v>
      </c>
      <c r="M7" s="29" t="s">
        <v>55</v>
      </c>
      <c r="N7" s="86"/>
      <c r="O7" s="86"/>
      <c r="P7" s="30" t="s">
        <v>13</v>
      </c>
      <c r="Q7" s="34" t="s">
        <v>76</v>
      </c>
      <c r="R7" s="34"/>
      <c r="S7" s="30">
        <v>1</v>
      </c>
      <c r="T7" s="31" t="s">
        <v>13</v>
      </c>
    </row>
    <row r="8" spans="1:22" ht="21" customHeight="1" x14ac:dyDescent="0.25">
      <c r="A8" s="87" t="s">
        <v>0</v>
      </c>
      <c r="B8" s="88" t="s">
        <v>17</v>
      </c>
      <c r="C8" s="89"/>
      <c r="D8" s="89"/>
      <c r="E8" s="89"/>
      <c r="F8" s="90"/>
      <c r="G8" s="87" t="s">
        <v>18</v>
      </c>
      <c r="H8" s="87"/>
      <c r="I8" s="87"/>
      <c r="J8" s="87"/>
      <c r="K8" s="94" t="s">
        <v>19</v>
      </c>
      <c r="L8" s="94"/>
      <c r="M8" s="95" t="s">
        <v>20</v>
      </c>
      <c r="N8" s="96"/>
      <c r="O8" s="96"/>
      <c r="P8" s="97"/>
      <c r="Q8" s="110" t="s">
        <v>21</v>
      </c>
      <c r="R8" s="111"/>
      <c r="S8" s="111"/>
      <c r="T8" s="112"/>
    </row>
    <row r="9" spans="1:22" ht="21" customHeight="1" x14ac:dyDescent="0.25">
      <c r="A9" s="87"/>
      <c r="B9" s="91"/>
      <c r="C9" s="92"/>
      <c r="D9" s="92"/>
      <c r="E9" s="92"/>
      <c r="F9" s="93"/>
      <c r="G9" s="24" t="s">
        <v>22</v>
      </c>
      <c r="H9" s="24" t="s">
        <v>23</v>
      </c>
      <c r="I9" s="24" t="s">
        <v>24</v>
      </c>
      <c r="J9" s="24" t="s">
        <v>25</v>
      </c>
      <c r="K9" s="32" t="s">
        <v>22</v>
      </c>
      <c r="L9" s="32" t="s">
        <v>25</v>
      </c>
      <c r="M9" s="87" t="s">
        <v>22</v>
      </c>
      <c r="N9" s="87"/>
      <c r="O9" s="87" t="s">
        <v>25</v>
      </c>
      <c r="P9" s="87"/>
      <c r="Q9" s="113" t="s">
        <v>22</v>
      </c>
      <c r="R9" s="113"/>
      <c r="S9" s="113" t="s">
        <v>25</v>
      </c>
      <c r="T9" s="113"/>
    </row>
    <row r="10" spans="1:22" ht="21" customHeight="1" x14ac:dyDescent="0.25">
      <c r="A10" s="74">
        <v>1</v>
      </c>
      <c r="B10" s="80" t="s">
        <v>81</v>
      </c>
      <c r="C10" s="81"/>
      <c r="D10" s="81"/>
      <c r="E10" s="81"/>
      <c r="F10" s="82"/>
      <c r="G10" s="70">
        <v>575</v>
      </c>
      <c r="H10" s="69" t="s">
        <v>82</v>
      </c>
      <c r="I10" s="70">
        <v>1000</v>
      </c>
      <c r="J10" s="73"/>
      <c r="K10" s="26"/>
      <c r="L10" s="25"/>
      <c r="M10" s="114">
        <v>575</v>
      </c>
      <c r="N10" s="115"/>
      <c r="O10" s="85">
        <f>M10*I10</f>
        <v>575000</v>
      </c>
      <c r="P10" s="85"/>
      <c r="Q10" s="116">
        <f>M10+K10</f>
        <v>575</v>
      </c>
      <c r="R10" s="116"/>
      <c r="S10" s="79">
        <f>O10+L10</f>
        <v>575000</v>
      </c>
      <c r="T10" s="79"/>
      <c r="V10" s="33">
        <v>550</v>
      </c>
    </row>
    <row r="11" spans="1:22" ht="21" customHeight="1" x14ac:dyDescent="0.25">
      <c r="A11" s="75"/>
      <c r="B11" s="80"/>
      <c r="C11" s="81"/>
      <c r="D11" s="81"/>
      <c r="E11" s="81"/>
      <c r="F11" s="82"/>
      <c r="G11" s="70"/>
      <c r="H11" s="69"/>
      <c r="I11" s="70"/>
      <c r="J11" s="73"/>
      <c r="K11" s="26"/>
      <c r="L11" s="25"/>
      <c r="M11" s="83"/>
      <c r="N11" s="84"/>
      <c r="O11" s="85"/>
      <c r="P11" s="85"/>
      <c r="Q11" s="117"/>
      <c r="R11" s="117"/>
      <c r="S11" s="79">
        <f>O11+L11</f>
        <v>0</v>
      </c>
      <c r="T11" s="79"/>
      <c r="V11" s="33">
        <v>24</v>
      </c>
    </row>
    <row r="12" spans="1:22" ht="21" customHeight="1" x14ac:dyDescent="0.25">
      <c r="A12" s="74"/>
      <c r="B12" s="80"/>
      <c r="C12" s="81"/>
      <c r="D12" s="81"/>
      <c r="E12" s="81"/>
      <c r="F12" s="82"/>
      <c r="G12" s="70"/>
      <c r="H12" s="69"/>
      <c r="I12" s="70"/>
      <c r="J12" s="73"/>
      <c r="K12" s="26"/>
      <c r="L12" s="25"/>
      <c r="M12" s="83"/>
      <c r="N12" s="84"/>
      <c r="O12" s="85"/>
      <c r="P12" s="85"/>
      <c r="Q12" s="78"/>
      <c r="R12" s="78"/>
      <c r="S12" s="79">
        <f t="shared" ref="S12:S16" si="0">O12+L12</f>
        <v>0</v>
      </c>
      <c r="T12" s="79"/>
      <c r="V12" s="33">
        <v>21.5</v>
      </c>
    </row>
    <row r="13" spans="1:22" s="43" customFormat="1" ht="21" customHeight="1" x14ac:dyDescent="0.25">
      <c r="A13" s="75"/>
      <c r="B13" s="80"/>
      <c r="C13" s="81"/>
      <c r="D13" s="81"/>
      <c r="E13" s="81"/>
      <c r="F13" s="82"/>
      <c r="G13" s="70"/>
      <c r="H13" s="69"/>
      <c r="I13" s="70"/>
      <c r="J13" s="73"/>
      <c r="K13" s="47"/>
      <c r="L13" s="44"/>
      <c r="M13" s="83"/>
      <c r="N13" s="84"/>
      <c r="O13" s="85"/>
      <c r="P13" s="85"/>
      <c r="Q13" s="78"/>
      <c r="R13" s="78"/>
      <c r="S13" s="79">
        <f t="shared" ref="S13" si="1">O13+L13</f>
        <v>0</v>
      </c>
      <c r="T13" s="79"/>
    </row>
    <row r="14" spans="1:22" ht="21" customHeight="1" x14ac:dyDescent="0.25">
      <c r="A14" s="74"/>
      <c r="B14" s="80"/>
      <c r="C14" s="81"/>
      <c r="D14" s="81"/>
      <c r="E14" s="81"/>
      <c r="F14" s="82"/>
      <c r="G14" s="70"/>
      <c r="H14" s="69"/>
      <c r="I14" s="70"/>
      <c r="J14" s="73"/>
      <c r="K14" s="26"/>
      <c r="L14" s="25"/>
      <c r="M14" s="118"/>
      <c r="N14" s="119"/>
      <c r="O14" s="85"/>
      <c r="P14" s="85"/>
      <c r="Q14" s="78"/>
      <c r="R14" s="78"/>
      <c r="S14" s="79">
        <f t="shared" si="0"/>
        <v>0</v>
      </c>
      <c r="T14" s="79"/>
      <c r="V14" s="33">
        <v>436.5</v>
      </c>
    </row>
    <row r="15" spans="1:22" ht="21" customHeight="1" x14ac:dyDescent="0.25">
      <c r="A15" s="75"/>
      <c r="B15" s="80"/>
      <c r="C15" s="81"/>
      <c r="D15" s="81"/>
      <c r="E15" s="81"/>
      <c r="F15" s="82"/>
      <c r="G15" s="70"/>
      <c r="H15" s="69"/>
      <c r="I15" s="70"/>
      <c r="J15" s="73"/>
      <c r="K15" s="26"/>
      <c r="L15" s="25"/>
      <c r="M15" s="120"/>
      <c r="N15" s="121"/>
      <c r="O15" s="85"/>
      <c r="P15" s="85"/>
      <c r="Q15" s="78"/>
      <c r="R15" s="78"/>
      <c r="S15" s="79">
        <f t="shared" si="0"/>
        <v>0</v>
      </c>
      <c r="T15" s="79"/>
      <c r="V15" s="33">
        <v>2</v>
      </c>
    </row>
    <row r="16" spans="1:22" ht="21" customHeight="1" x14ac:dyDescent="0.25">
      <c r="A16" s="74"/>
      <c r="B16" s="80"/>
      <c r="C16" s="81"/>
      <c r="D16" s="81"/>
      <c r="E16" s="81"/>
      <c r="F16" s="82"/>
      <c r="G16" s="70"/>
      <c r="H16" s="69"/>
      <c r="I16" s="70"/>
      <c r="J16" s="73"/>
      <c r="K16" s="26"/>
      <c r="L16" s="25"/>
      <c r="M16" s="120"/>
      <c r="N16" s="121"/>
      <c r="O16" s="85"/>
      <c r="P16" s="85"/>
      <c r="Q16" s="78"/>
      <c r="R16" s="78"/>
      <c r="S16" s="79">
        <f t="shared" si="0"/>
        <v>0</v>
      </c>
      <c r="T16" s="79"/>
      <c r="V16" s="33">
        <v>73</v>
      </c>
    </row>
    <row r="17" spans="1:22" ht="21" customHeight="1" x14ac:dyDescent="0.25">
      <c r="A17" s="75"/>
      <c r="B17" s="80"/>
      <c r="C17" s="81"/>
      <c r="D17" s="81"/>
      <c r="E17" s="81"/>
      <c r="F17" s="82"/>
      <c r="G17" s="70"/>
      <c r="H17" s="69"/>
      <c r="I17" s="70"/>
      <c r="J17" s="73"/>
      <c r="K17" s="26"/>
      <c r="L17" s="25"/>
      <c r="M17" s="120"/>
      <c r="N17" s="121"/>
      <c r="O17" s="76"/>
      <c r="P17" s="77"/>
      <c r="Q17" s="78"/>
      <c r="R17" s="78"/>
      <c r="S17" s="79">
        <f t="shared" ref="S17" si="2">O17+L17</f>
        <v>0</v>
      </c>
      <c r="T17" s="79"/>
      <c r="V17" s="33">
        <v>3</v>
      </c>
    </row>
    <row r="18" spans="1:22" ht="21" customHeight="1" x14ac:dyDescent="0.25">
      <c r="A18" s="75"/>
      <c r="B18" s="80"/>
      <c r="C18" s="81"/>
      <c r="D18" s="81"/>
      <c r="E18" s="81"/>
      <c r="F18" s="82"/>
      <c r="G18" s="70"/>
      <c r="H18" s="69"/>
      <c r="I18" s="70"/>
      <c r="J18" s="73"/>
      <c r="K18" s="25"/>
      <c r="L18" s="25"/>
      <c r="M18" s="76"/>
      <c r="N18" s="77"/>
      <c r="O18" s="76"/>
      <c r="P18" s="77"/>
      <c r="Q18" s="122"/>
      <c r="R18" s="123"/>
      <c r="S18" s="79">
        <f t="shared" ref="S18:S25" si="3">O18+L18</f>
        <v>0</v>
      </c>
      <c r="T18" s="79"/>
    </row>
    <row r="19" spans="1:22" ht="21" customHeight="1" x14ac:dyDescent="0.25">
      <c r="A19" s="75"/>
      <c r="B19" s="80"/>
      <c r="C19" s="81"/>
      <c r="D19" s="81"/>
      <c r="E19" s="81"/>
      <c r="F19" s="82"/>
      <c r="G19" s="70"/>
      <c r="H19" s="69"/>
      <c r="I19" s="70"/>
      <c r="J19" s="73"/>
      <c r="K19" s="25"/>
      <c r="L19" s="25"/>
      <c r="M19" s="76"/>
      <c r="N19" s="77"/>
      <c r="O19" s="76"/>
      <c r="P19" s="77"/>
      <c r="Q19" s="122"/>
      <c r="R19" s="123"/>
      <c r="S19" s="79">
        <f t="shared" si="3"/>
        <v>0</v>
      </c>
      <c r="T19" s="79"/>
    </row>
    <row r="20" spans="1:22" ht="21" customHeight="1" x14ac:dyDescent="0.25">
      <c r="A20" s="75"/>
      <c r="B20" s="80"/>
      <c r="C20" s="81"/>
      <c r="D20" s="81"/>
      <c r="E20" s="81"/>
      <c r="F20" s="82"/>
      <c r="G20" s="70"/>
      <c r="H20" s="69"/>
      <c r="I20" s="70"/>
      <c r="J20" s="73"/>
      <c r="K20" s="25"/>
      <c r="L20" s="25"/>
      <c r="M20" s="76"/>
      <c r="N20" s="77"/>
      <c r="O20" s="76"/>
      <c r="P20" s="77"/>
      <c r="Q20" s="122"/>
      <c r="R20" s="123"/>
      <c r="S20" s="79">
        <f t="shared" si="3"/>
        <v>0</v>
      </c>
      <c r="T20" s="79"/>
    </row>
    <row r="21" spans="1:22" ht="21" customHeight="1" x14ac:dyDescent="0.25">
      <c r="A21" s="75"/>
      <c r="B21" s="80"/>
      <c r="C21" s="81"/>
      <c r="D21" s="81"/>
      <c r="E21" s="81"/>
      <c r="F21" s="82"/>
      <c r="G21" s="70"/>
      <c r="H21" s="69"/>
      <c r="I21" s="70"/>
      <c r="J21" s="73"/>
      <c r="K21" s="25"/>
      <c r="L21" s="25"/>
      <c r="M21" s="76"/>
      <c r="N21" s="77"/>
      <c r="O21" s="76"/>
      <c r="P21" s="77"/>
      <c r="Q21" s="122"/>
      <c r="R21" s="123"/>
      <c r="S21" s="79">
        <f t="shared" si="3"/>
        <v>0</v>
      </c>
      <c r="T21" s="79"/>
    </row>
    <row r="22" spans="1:22" ht="21" customHeight="1" x14ac:dyDescent="0.25">
      <c r="A22" s="74"/>
      <c r="B22" s="80"/>
      <c r="C22" s="81"/>
      <c r="D22" s="81"/>
      <c r="E22" s="81"/>
      <c r="F22" s="82"/>
      <c r="G22" s="70"/>
      <c r="H22" s="69"/>
      <c r="I22" s="70"/>
      <c r="J22" s="73"/>
      <c r="K22" s="25"/>
      <c r="L22" s="25"/>
      <c r="M22" s="76"/>
      <c r="N22" s="77"/>
      <c r="O22" s="76"/>
      <c r="P22" s="77"/>
      <c r="Q22" s="122"/>
      <c r="R22" s="123"/>
      <c r="S22" s="79">
        <f t="shared" si="3"/>
        <v>0</v>
      </c>
      <c r="T22" s="79"/>
    </row>
    <row r="23" spans="1:22" ht="21" customHeight="1" x14ac:dyDescent="0.25">
      <c r="A23" s="75"/>
      <c r="B23" s="80"/>
      <c r="C23" s="81"/>
      <c r="D23" s="81"/>
      <c r="E23" s="81"/>
      <c r="F23" s="82"/>
      <c r="G23" s="70"/>
      <c r="H23" s="69"/>
      <c r="I23" s="70"/>
      <c r="J23" s="73"/>
      <c r="K23" s="25"/>
      <c r="L23" s="25"/>
      <c r="M23" s="76"/>
      <c r="N23" s="77"/>
      <c r="O23" s="76"/>
      <c r="P23" s="77"/>
      <c r="Q23" s="122"/>
      <c r="R23" s="123"/>
      <c r="S23" s="79">
        <f t="shared" si="3"/>
        <v>0</v>
      </c>
      <c r="T23" s="79"/>
    </row>
    <row r="24" spans="1:22" ht="21" customHeight="1" x14ac:dyDescent="0.25">
      <c r="A24" s="75"/>
      <c r="B24" s="80"/>
      <c r="C24" s="81"/>
      <c r="D24" s="81"/>
      <c r="E24" s="81"/>
      <c r="F24" s="82"/>
      <c r="G24" s="70"/>
      <c r="H24" s="69"/>
      <c r="I24" s="70"/>
      <c r="J24" s="73"/>
      <c r="K24" s="25"/>
      <c r="L24" s="25"/>
      <c r="M24" s="76"/>
      <c r="N24" s="77"/>
      <c r="O24" s="76"/>
      <c r="P24" s="77"/>
      <c r="Q24" s="122"/>
      <c r="R24" s="123"/>
      <c r="S24" s="79">
        <f t="shared" si="3"/>
        <v>0</v>
      </c>
      <c r="T24" s="79"/>
    </row>
    <row r="25" spans="1:22" ht="21" customHeight="1" x14ac:dyDescent="0.25">
      <c r="A25" s="75"/>
      <c r="B25" s="80"/>
      <c r="C25" s="81"/>
      <c r="D25" s="81"/>
      <c r="E25" s="81"/>
      <c r="F25" s="82"/>
      <c r="G25" s="70"/>
      <c r="H25" s="69"/>
      <c r="I25" s="70"/>
      <c r="J25" s="73"/>
      <c r="K25" s="25"/>
      <c r="L25" s="25"/>
      <c r="M25" s="120"/>
      <c r="N25" s="121"/>
      <c r="O25" s="76"/>
      <c r="P25" s="77"/>
      <c r="Q25" s="122"/>
      <c r="R25" s="123"/>
      <c r="S25" s="79">
        <f t="shared" si="3"/>
        <v>0</v>
      </c>
      <c r="T25" s="79"/>
    </row>
    <row r="26" spans="1:22" ht="21" customHeight="1" x14ac:dyDescent="0.25">
      <c r="A26" s="75"/>
      <c r="B26" s="80"/>
      <c r="C26" s="81"/>
      <c r="D26" s="81"/>
      <c r="E26" s="81"/>
      <c r="F26" s="82"/>
      <c r="G26" s="70"/>
      <c r="H26" s="69"/>
      <c r="I26" s="70"/>
      <c r="J26" s="73"/>
      <c r="K26" s="25"/>
      <c r="L26" s="25"/>
      <c r="M26" s="76"/>
      <c r="N26" s="77"/>
      <c r="O26" s="76"/>
      <c r="P26" s="77"/>
      <c r="Q26" s="122"/>
      <c r="R26" s="123"/>
      <c r="S26" s="122"/>
      <c r="T26" s="123"/>
    </row>
    <row r="27" spans="1:22" ht="21" customHeight="1" x14ac:dyDescent="0.25">
      <c r="A27" s="75"/>
      <c r="B27" s="80"/>
      <c r="C27" s="81"/>
      <c r="D27" s="81"/>
      <c r="E27" s="81"/>
      <c r="F27" s="82"/>
      <c r="G27" s="70"/>
      <c r="H27" s="69"/>
      <c r="I27" s="70"/>
      <c r="J27" s="73"/>
      <c r="K27" s="25"/>
      <c r="L27" s="25"/>
      <c r="M27" s="76"/>
      <c r="N27" s="77"/>
      <c r="O27" s="76"/>
      <c r="P27" s="77"/>
      <c r="Q27" s="122"/>
      <c r="R27" s="123"/>
      <c r="S27" s="122">
        <f t="shared" ref="S27:S41" si="4">O27+L27</f>
        <v>0</v>
      </c>
      <c r="T27" s="123"/>
    </row>
    <row r="28" spans="1:22" s="43" customFormat="1" ht="21" customHeight="1" x14ac:dyDescent="0.25">
      <c r="A28" s="75"/>
      <c r="B28" s="80"/>
      <c r="C28" s="81"/>
      <c r="D28" s="81"/>
      <c r="E28" s="81"/>
      <c r="F28" s="82"/>
      <c r="G28" s="70"/>
      <c r="H28" s="69"/>
      <c r="I28" s="70"/>
      <c r="J28" s="73"/>
      <c r="K28" s="44"/>
      <c r="L28" s="44"/>
      <c r="M28" s="76"/>
      <c r="N28" s="77"/>
      <c r="O28" s="76"/>
      <c r="P28" s="77"/>
      <c r="Q28" s="45"/>
      <c r="R28" s="46"/>
      <c r="S28" s="45"/>
      <c r="T28" s="46"/>
    </row>
    <row r="29" spans="1:22" s="43" customFormat="1" ht="21" customHeight="1" x14ac:dyDescent="0.25">
      <c r="A29" s="75"/>
      <c r="B29" s="80"/>
      <c r="C29" s="81"/>
      <c r="D29" s="81"/>
      <c r="E29" s="81"/>
      <c r="F29" s="82"/>
      <c r="G29" s="70"/>
      <c r="H29" s="69"/>
      <c r="I29" s="70"/>
      <c r="J29" s="73"/>
      <c r="K29" s="44"/>
      <c r="L29" s="44"/>
      <c r="M29" s="76"/>
      <c r="N29" s="77"/>
      <c r="O29" s="76"/>
      <c r="P29" s="77"/>
      <c r="Q29" s="45"/>
      <c r="R29" s="46"/>
      <c r="S29" s="45"/>
      <c r="T29" s="46"/>
    </row>
    <row r="30" spans="1:22" s="43" customFormat="1" ht="21" customHeight="1" x14ac:dyDescent="0.25">
      <c r="A30" s="74"/>
      <c r="B30" s="80"/>
      <c r="C30" s="81"/>
      <c r="D30" s="81"/>
      <c r="E30" s="81"/>
      <c r="F30" s="82"/>
      <c r="G30" s="70"/>
      <c r="H30" s="69"/>
      <c r="I30" s="70"/>
      <c r="J30" s="73"/>
      <c r="K30" s="44"/>
      <c r="L30" s="44"/>
      <c r="M30" s="76"/>
      <c r="N30" s="77"/>
      <c r="O30" s="76"/>
      <c r="P30" s="77"/>
      <c r="Q30" s="45"/>
      <c r="R30" s="46"/>
      <c r="S30" s="45"/>
      <c r="T30" s="46"/>
    </row>
    <row r="31" spans="1:22" s="43" customFormat="1" ht="21" customHeight="1" x14ac:dyDescent="0.25">
      <c r="A31" s="75"/>
      <c r="B31" s="80"/>
      <c r="C31" s="81"/>
      <c r="D31" s="81"/>
      <c r="E31" s="81"/>
      <c r="F31" s="82"/>
      <c r="G31" s="70"/>
      <c r="H31" s="69"/>
      <c r="I31" s="70"/>
      <c r="J31" s="73"/>
      <c r="K31" s="44"/>
      <c r="L31" s="44"/>
      <c r="M31" s="76"/>
      <c r="N31" s="77"/>
      <c r="O31" s="76"/>
      <c r="P31" s="77"/>
      <c r="Q31" s="45"/>
      <c r="R31" s="46"/>
      <c r="S31" s="45"/>
      <c r="T31" s="46"/>
    </row>
    <row r="32" spans="1:22" s="43" customFormat="1" ht="21" customHeight="1" x14ac:dyDescent="0.25">
      <c r="A32" s="75"/>
      <c r="B32" s="80"/>
      <c r="C32" s="81"/>
      <c r="D32" s="81"/>
      <c r="E32" s="81"/>
      <c r="F32" s="82"/>
      <c r="G32" s="70"/>
      <c r="H32" s="69"/>
      <c r="I32" s="70"/>
      <c r="J32" s="73"/>
      <c r="K32" s="44"/>
      <c r="L32" s="44"/>
      <c r="M32" s="76"/>
      <c r="N32" s="77"/>
      <c r="O32" s="76"/>
      <c r="P32" s="77"/>
      <c r="Q32" s="45"/>
      <c r="R32" s="46"/>
      <c r="S32" s="45"/>
      <c r="T32" s="46"/>
    </row>
    <row r="33" spans="1:20" s="43" customFormat="1" ht="21" customHeight="1" x14ac:dyDescent="0.25">
      <c r="A33" s="75"/>
      <c r="B33" s="80"/>
      <c r="C33" s="81"/>
      <c r="D33" s="81"/>
      <c r="E33" s="81"/>
      <c r="F33" s="82"/>
      <c r="G33" s="70"/>
      <c r="H33" s="69"/>
      <c r="I33" s="70"/>
      <c r="J33" s="73"/>
      <c r="K33" s="44"/>
      <c r="L33" s="44"/>
      <c r="M33" s="76"/>
      <c r="N33" s="77"/>
      <c r="O33" s="76"/>
      <c r="P33" s="77"/>
      <c r="Q33" s="45"/>
      <c r="R33" s="46"/>
      <c r="S33" s="45"/>
      <c r="T33" s="46"/>
    </row>
    <row r="34" spans="1:20" s="43" customFormat="1" ht="21" customHeight="1" x14ac:dyDescent="0.25">
      <c r="A34" s="75"/>
      <c r="B34" s="80"/>
      <c r="C34" s="81"/>
      <c r="D34" s="81"/>
      <c r="E34" s="81"/>
      <c r="F34" s="82"/>
      <c r="G34" s="70"/>
      <c r="H34" s="69"/>
      <c r="I34" s="70"/>
      <c r="J34" s="73"/>
      <c r="K34" s="44"/>
      <c r="L34" s="44"/>
      <c r="M34" s="76"/>
      <c r="N34" s="77"/>
      <c r="O34" s="76"/>
      <c r="P34" s="77"/>
      <c r="Q34" s="45"/>
      <c r="R34" s="46"/>
      <c r="S34" s="45"/>
      <c r="T34" s="46"/>
    </row>
    <row r="35" spans="1:20" s="43" customFormat="1" ht="21" customHeight="1" x14ac:dyDescent="0.25">
      <c r="A35" s="75"/>
      <c r="B35" s="80"/>
      <c r="C35" s="81"/>
      <c r="D35" s="81"/>
      <c r="E35" s="81"/>
      <c r="F35" s="82"/>
      <c r="G35" s="71"/>
      <c r="H35" s="69"/>
      <c r="I35" s="70"/>
      <c r="J35" s="73"/>
      <c r="K35" s="44"/>
      <c r="L35" s="44"/>
      <c r="M35" s="76"/>
      <c r="N35" s="77"/>
      <c r="O35" s="76"/>
      <c r="P35" s="77"/>
      <c r="Q35" s="45"/>
      <c r="R35" s="46"/>
      <c r="S35" s="45"/>
      <c r="T35" s="46"/>
    </row>
    <row r="36" spans="1:20" s="43" customFormat="1" ht="21" customHeight="1" x14ac:dyDescent="0.25">
      <c r="A36" s="75"/>
      <c r="B36" s="80"/>
      <c r="C36" s="81"/>
      <c r="D36" s="81"/>
      <c r="E36" s="81"/>
      <c r="F36" s="82"/>
      <c r="G36" s="70"/>
      <c r="H36" s="69"/>
      <c r="I36" s="70"/>
      <c r="J36" s="73"/>
      <c r="K36" s="44"/>
      <c r="L36" s="44"/>
      <c r="M36" s="76"/>
      <c r="N36" s="77"/>
      <c r="O36" s="76"/>
      <c r="P36" s="77"/>
      <c r="Q36" s="45"/>
      <c r="R36" s="46"/>
      <c r="S36" s="45"/>
      <c r="T36" s="46"/>
    </row>
    <row r="37" spans="1:20" s="43" customFormat="1" ht="21" customHeight="1" x14ac:dyDescent="0.25">
      <c r="A37" s="75"/>
      <c r="B37" s="80"/>
      <c r="C37" s="81"/>
      <c r="D37" s="81"/>
      <c r="E37" s="81"/>
      <c r="F37" s="82"/>
      <c r="G37" s="70"/>
      <c r="H37" s="69"/>
      <c r="I37" s="70"/>
      <c r="J37" s="73"/>
      <c r="K37" s="44"/>
      <c r="L37" s="44"/>
      <c r="M37" s="76"/>
      <c r="N37" s="77"/>
      <c r="O37" s="76"/>
      <c r="P37" s="77"/>
      <c r="Q37" s="45"/>
      <c r="R37" s="46"/>
      <c r="S37" s="45"/>
      <c r="T37" s="46"/>
    </row>
    <row r="38" spans="1:20" s="43" customFormat="1" ht="21" customHeight="1" x14ac:dyDescent="0.25">
      <c r="A38" s="74"/>
      <c r="B38" s="80"/>
      <c r="C38" s="81"/>
      <c r="D38" s="81"/>
      <c r="E38" s="81"/>
      <c r="F38" s="82"/>
      <c r="G38" s="70"/>
      <c r="H38" s="69"/>
      <c r="I38" s="70"/>
      <c r="J38" s="73"/>
      <c r="K38" s="44"/>
      <c r="L38" s="44"/>
      <c r="M38" s="76"/>
      <c r="N38" s="77"/>
      <c r="O38" s="76"/>
      <c r="P38" s="77"/>
      <c r="Q38" s="45"/>
      <c r="R38" s="46"/>
      <c r="S38" s="45"/>
      <c r="T38" s="46"/>
    </row>
    <row r="39" spans="1:20" s="43" customFormat="1" ht="21" customHeight="1" x14ac:dyDescent="0.25">
      <c r="A39" s="75"/>
      <c r="B39" s="80"/>
      <c r="C39" s="81"/>
      <c r="D39" s="81"/>
      <c r="E39" s="81"/>
      <c r="F39" s="82"/>
      <c r="G39" s="72"/>
      <c r="H39" s="69"/>
      <c r="I39" s="70"/>
      <c r="J39" s="73"/>
      <c r="K39" s="44"/>
      <c r="L39" s="44"/>
      <c r="M39" s="76"/>
      <c r="N39" s="77"/>
      <c r="O39" s="76"/>
      <c r="P39" s="77"/>
      <c r="Q39" s="45"/>
      <c r="R39" s="46"/>
      <c r="S39" s="45"/>
      <c r="T39" s="46"/>
    </row>
    <row r="40" spans="1:20" ht="21" customHeight="1" x14ac:dyDescent="0.25">
      <c r="A40" s="75"/>
      <c r="B40" s="80"/>
      <c r="C40" s="81"/>
      <c r="D40" s="81"/>
      <c r="E40" s="81"/>
      <c r="F40" s="82"/>
      <c r="G40" s="72"/>
      <c r="H40" s="69"/>
      <c r="I40" s="70"/>
      <c r="J40" s="73"/>
      <c r="K40" s="25"/>
      <c r="L40" s="25"/>
      <c r="M40" s="76"/>
      <c r="N40" s="77"/>
      <c r="O40" s="76"/>
      <c r="P40" s="77"/>
      <c r="Q40" s="122"/>
      <c r="R40" s="123"/>
      <c r="S40" s="122">
        <f t="shared" si="4"/>
        <v>0</v>
      </c>
      <c r="T40" s="123"/>
    </row>
    <row r="41" spans="1:20" ht="21" customHeight="1" x14ac:dyDescent="0.25">
      <c r="A41" s="95" t="s">
        <v>26</v>
      </c>
      <c r="B41" s="96"/>
      <c r="C41" s="96"/>
      <c r="D41" s="96"/>
      <c r="E41" s="96"/>
      <c r="F41" s="97"/>
      <c r="G41" s="1"/>
      <c r="H41" s="1"/>
      <c r="I41" s="8"/>
      <c r="J41" s="25">
        <f>SUM(J10:J40)</f>
        <v>0</v>
      </c>
      <c r="K41" s="25"/>
      <c r="L41" s="25">
        <f>SUM(L10:L40)</f>
        <v>0</v>
      </c>
      <c r="M41" s="85"/>
      <c r="N41" s="85"/>
      <c r="O41" s="85">
        <f>SUM(O10:P40)</f>
        <v>575000</v>
      </c>
      <c r="P41" s="85"/>
      <c r="Q41" s="85"/>
      <c r="R41" s="85"/>
      <c r="S41" s="122">
        <f t="shared" si="4"/>
        <v>575000</v>
      </c>
      <c r="T41" s="123"/>
    </row>
    <row r="42" spans="1:20" ht="21" customHeight="1" x14ac:dyDescent="0.25">
      <c r="A42" s="16" t="s">
        <v>27</v>
      </c>
      <c r="B42" s="27" t="s">
        <v>56</v>
      </c>
      <c r="C42" s="17">
        <v>10</v>
      </c>
      <c r="D42" s="38" t="s">
        <v>28</v>
      </c>
      <c r="E42" s="96"/>
      <c r="F42" s="96"/>
      <c r="G42" s="96"/>
      <c r="H42" s="96"/>
      <c r="I42" s="96"/>
      <c r="J42" s="97"/>
      <c r="K42" s="1"/>
      <c r="L42" s="25"/>
      <c r="M42" s="124"/>
      <c r="N42" s="124"/>
      <c r="O42" s="125">
        <f>-O41*C42%</f>
        <v>-57500</v>
      </c>
      <c r="P42" s="124"/>
      <c r="Q42" s="124"/>
      <c r="R42" s="124"/>
      <c r="S42" s="85">
        <f>O42+L42</f>
        <v>-57500</v>
      </c>
      <c r="T42" s="85"/>
    </row>
    <row r="43" spans="1:20" ht="21" customHeight="1" x14ac:dyDescent="0.25">
      <c r="A43" s="16" t="s">
        <v>29</v>
      </c>
      <c r="B43" s="126" t="s">
        <v>57</v>
      </c>
      <c r="C43" s="126"/>
      <c r="D43" s="126"/>
      <c r="E43" s="126"/>
      <c r="F43" s="126"/>
      <c r="G43" s="126"/>
      <c r="H43" s="126"/>
      <c r="I43" s="126"/>
      <c r="J43" s="127"/>
      <c r="K43" s="1"/>
      <c r="L43" s="25"/>
      <c r="M43" s="124"/>
      <c r="N43" s="124"/>
      <c r="O43" s="125"/>
      <c r="P43" s="125"/>
      <c r="Q43" s="124"/>
      <c r="R43" s="124"/>
      <c r="S43" s="85"/>
      <c r="T43" s="85"/>
    </row>
    <row r="44" spans="1:20" ht="21" customHeight="1" x14ac:dyDescent="0.25">
      <c r="A44" s="16" t="s">
        <v>30</v>
      </c>
      <c r="B44" s="126" t="s">
        <v>58</v>
      </c>
      <c r="C44" s="126"/>
      <c r="D44" s="126"/>
      <c r="E44" s="126"/>
      <c r="F44" s="126"/>
      <c r="G44" s="126"/>
      <c r="H44" s="126"/>
      <c r="I44" s="126"/>
      <c r="J44" s="127"/>
      <c r="K44" s="1"/>
      <c r="L44" s="25"/>
      <c r="M44" s="124"/>
      <c r="N44" s="124"/>
      <c r="O44" s="125"/>
      <c r="P44" s="125"/>
      <c r="Q44" s="124"/>
      <c r="R44" s="124"/>
      <c r="S44" s="85"/>
      <c r="T44" s="85"/>
    </row>
    <row r="45" spans="1:20" ht="21" customHeight="1" x14ac:dyDescent="0.25">
      <c r="A45" s="16" t="s">
        <v>59</v>
      </c>
      <c r="B45" s="128"/>
      <c r="C45" s="128"/>
      <c r="D45" s="128"/>
      <c r="E45" s="128"/>
      <c r="F45" s="128"/>
      <c r="G45" s="128"/>
      <c r="H45" s="128"/>
      <c r="I45" s="128"/>
      <c r="J45" s="129"/>
      <c r="K45" s="1"/>
      <c r="L45" s="25"/>
      <c r="M45" s="124"/>
      <c r="N45" s="124"/>
      <c r="O45" s="124"/>
      <c r="P45" s="124"/>
      <c r="Q45" s="124"/>
      <c r="R45" s="124"/>
      <c r="S45" s="85">
        <f t="shared" ref="S45:S48" si="5">O45+L45</f>
        <v>0</v>
      </c>
      <c r="T45" s="85"/>
    </row>
    <row r="46" spans="1:20" ht="21" customHeight="1" x14ac:dyDescent="0.25">
      <c r="A46" s="16" t="s">
        <v>31</v>
      </c>
      <c r="B46" s="126"/>
      <c r="C46" s="126"/>
      <c r="D46" s="126"/>
      <c r="E46" s="126"/>
      <c r="F46" s="126"/>
      <c r="G46" s="126"/>
      <c r="H46" s="126"/>
      <c r="I46" s="126"/>
      <c r="J46" s="127"/>
      <c r="K46" s="1"/>
      <c r="L46" s="25"/>
      <c r="M46" s="124"/>
      <c r="N46" s="124"/>
      <c r="O46" s="124"/>
      <c r="P46" s="124"/>
      <c r="Q46" s="124"/>
      <c r="R46" s="124"/>
      <c r="S46" s="85">
        <f t="shared" si="5"/>
        <v>0</v>
      </c>
      <c r="T46" s="85"/>
    </row>
    <row r="47" spans="1:20" ht="21" customHeight="1" x14ac:dyDescent="0.25">
      <c r="A47" s="16" t="s">
        <v>29</v>
      </c>
      <c r="B47" s="128"/>
      <c r="C47" s="128"/>
      <c r="D47" s="128"/>
      <c r="E47" s="128"/>
      <c r="F47" s="128"/>
      <c r="G47" s="128"/>
      <c r="H47" s="128"/>
      <c r="I47" s="128"/>
      <c r="J47" s="129"/>
      <c r="K47" s="1"/>
      <c r="L47" s="25"/>
      <c r="M47" s="124"/>
      <c r="N47" s="124"/>
      <c r="O47" s="124"/>
      <c r="P47" s="124"/>
      <c r="Q47" s="124"/>
      <c r="R47" s="124"/>
      <c r="S47" s="85">
        <f t="shared" si="5"/>
        <v>0</v>
      </c>
      <c r="T47" s="85"/>
    </row>
    <row r="48" spans="1:20" ht="21" customHeight="1" thickBot="1" x14ac:dyDescent="0.3">
      <c r="A48" s="16" t="s">
        <v>60</v>
      </c>
      <c r="B48" s="130"/>
      <c r="C48" s="130"/>
      <c r="D48" s="130"/>
      <c r="E48" s="130"/>
      <c r="F48" s="130"/>
      <c r="G48" s="130"/>
      <c r="H48" s="130"/>
      <c r="I48" s="130"/>
      <c r="J48" s="131"/>
      <c r="K48" s="1"/>
      <c r="L48" s="25"/>
      <c r="M48" s="124"/>
      <c r="N48" s="124"/>
      <c r="O48" s="124"/>
      <c r="P48" s="124"/>
      <c r="Q48" s="124"/>
      <c r="R48" s="124"/>
      <c r="S48" s="85">
        <f t="shared" si="5"/>
        <v>0</v>
      </c>
      <c r="T48" s="85"/>
    </row>
    <row r="49" spans="1:20" ht="21" customHeight="1" thickTop="1" thickBot="1" x14ac:dyDescent="0.3">
      <c r="A49" s="132" t="s">
        <v>32</v>
      </c>
      <c r="B49" s="133" t="s">
        <v>33</v>
      </c>
      <c r="C49" s="133">
        <v>5</v>
      </c>
      <c r="D49" s="133" t="s">
        <v>28</v>
      </c>
      <c r="E49" s="133"/>
      <c r="F49" s="133"/>
      <c r="G49" s="133"/>
      <c r="H49" s="133"/>
      <c r="I49" s="133"/>
      <c r="J49" s="134"/>
      <c r="K49" s="10"/>
      <c r="L49" s="25"/>
      <c r="M49" s="124"/>
      <c r="N49" s="124"/>
      <c r="O49" s="125">
        <f>ROUND(SUM(O41:P48)*0.05,0)</f>
        <v>25875</v>
      </c>
      <c r="P49" s="124"/>
      <c r="Q49" s="124"/>
      <c r="R49" s="124"/>
      <c r="S49" s="85">
        <f>O49+L49</f>
        <v>25875</v>
      </c>
      <c r="T49" s="85"/>
    </row>
    <row r="50" spans="1:20" ht="21" customHeight="1" thickTop="1" thickBot="1" x14ac:dyDescent="0.3">
      <c r="A50" s="132" t="s">
        <v>34</v>
      </c>
      <c r="B50" s="133"/>
      <c r="C50" s="133"/>
      <c r="D50" s="133"/>
      <c r="E50" s="133"/>
      <c r="F50" s="133"/>
      <c r="G50" s="133"/>
      <c r="H50" s="133"/>
      <c r="I50" s="133"/>
      <c r="J50" s="134"/>
      <c r="K50" s="9"/>
      <c r="L50" s="25">
        <f>L41+L49</f>
        <v>0</v>
      </c>
      <c r="M50" s="135"/>
      <c r="N50" s="135"/>
      <c r="O50" s="136">
        <f>SUM(O41:P49)</f>
        <v>543375</v>
      </c>
      <c r="P50" s="135"/>
      <c r="Q50" s="135"/>
      <c r="R50" s="135"/>
      <c r="S50" s="85">
        <f>O50+L50</f>
        <v>543375</v>
      </c>
      <c r="T50" s="85"/>
    </row>
    <row r="51" spans="1:20" ht="23.25" customHeight="1" thickTop="1" x14ac:dyDescent="0.25">
      <c r="A51" s="137" t="s">
        <v>35</v>
      </c>
      <c r="B51" s="138"/>
      <c r="C51" s="138"/>
      <c r="D51" s="138"/>
      <c r="E51" s="138"/>
      <c r="F51" s="139"/>
      <c r="G51" s="140" t="s">
        <v>61</v>
      </c>
      <c r="H51" s="141"/>
      <c r="I51" s="97" t="s">
        <v>36</v>
      </c>
      <c r="J51" s="87"/>
      <c r="K51" s="87"/>
      <c r="L51" s="87" t="s">
        <v>37</v>
      </c>
      <c r="M51" s="87"/>
      <c r="N51" s="87"/>
      <c r="O51" s="87"/>
      <c r="P51" s="87" t="s">
        <v>38</v>
      </c>
      <c r="Q51" s="87"/>
      <c r="R51" s="87" t="s">
        <v>39</v>
      </c>
      <c r="S51" s="87"/>
      <c r="T51" s="87"/>
    </row>
    <row r="52" spans="1:20" ht="23.25" customHeight="1" x14ac:dyDescent="0.25">
      <c r="A52" s="2" t="s">
        <v>40</v>
      </c>
      <c r="B52" s="17" t="s">
        <v>41</v>
      </c>
      <c r="C52" s="3"/>
      <c r="D52" s="17" t="s">
        <v>42</v>
      </c>
      <c r="E52" s="4"/>
      <c r="F52" s="4"/>
      <c r="G52" s="140"/>
      <c r="H52" s="141"/>
      <c r="I52" s="9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</row>
    <row r="53" spans="1:20" ht="23.25" customHeight="1" x14ac:dyDescent="0.25">
      <c r="A53" s="2" t="s">
        <v>40</v>
      </c>
      <c r="B53" s="17" t="s">
        <v>44</v>
      </c>
      <c r="C53" s="3"/>
      <c r="D53" s="17" t="s">
        <v>42</v>
      </c>
      <c r="E53" s="3"/>
      <c r="F53" s="4" t="s">
        <v>62</v>
      </c>
      <c r="G53" s="140"/>
      <c r="H53" s="141"/>
      <c r="I53" s="9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</row>
    <row r="54" spans="1:20" ht="23.25" customHeight="1" x14ac:dyDescent="0.25">
      <c r="A54" s="2" t="s">
        <v>63</v>
      </c>
      <c r="B54" s="17" t="s">
        <v>45</v>
      </c>
      <c r="C54" s="3"/>
      <c r="D54" s="17" t="s">
        <v>42</v>
      </c>
      <c r="E54" s="4"/>
      <c r="F54" s="4"/>
      <c r="G54" s="140"/>
      <c r="H54" s="141"/>
      <c r="I54" s="9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</row>
    <row r="55" spans="1:20" ht="23.25" customHeight="1" x14ac:dyDescent="0.25">
      <c r="A55" s="2" t="s">
        <v>40</v>
      </c>
      <c r="B55" s="17" t="s">
        <v>46</v>
      </c>
      <c r="C55" s="5" t="s">
        <v>43</v>
      </c>
      <c r="D55" s="97" t="s">
        <v>47</v>
      </c>
      <c r="E55" s="87"/>
      <c r="F55" s="95"/>
      <c r="G55" s="140"/>
      <c r="H55" s="141"/>
      <c r="I55" s="9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</row>
    <row r="56" spans="1:20" ht="21" customHeight="1" x14ac:dyDescent="0.25">
      <c r="A56" s="151" t="s">
        <v>48</v>
      </c>
      <c r="B56" s="100" t="s">
        <v>83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2"/>
      <c r="R56" s="152" t="s">
        <v>74</v>
      </c>
      <c r="S56" s="153"/>
      <c r="T56" s="154"/>
    </row>
    <row r="57" spans="1:20" ht="21" customHeight="1" x14ac:dyDescent="0.25">
      <c r="A57" s="151"/>
      <c r="B57" s="155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7"/>
      <c r="R57" s="158"/>
      <c r="S57" s="159"/>
      <c r="T57" s="160"/>
    </row>
    <row r="58" spans="1:20" ht="21" customHeight="1" x14ac:dyDescent="0.25">
      <c r="A58" s="151"/>
      <c r="B58" s="155" t="s">
        <v>77</v>
      </c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7"/>
      <c r="R58" s="158"/>
      <c r="S58" s="159"/>
      <c r="T58" s="160"/>
    </row>
    <row r="59" spans="1:20" ht="21" customHeight="1" x14ac:dyDescent="0.25">
      <c r="A59" s="151"/>
      <c r="B59" s="164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165"/>
      <c r="R59" s="161"/>
      <c r="S59" s="162"/>
      <c r="T59" s="163"/>
    </row>
    <row r="60" spans="1:20" ht="21.75" customHeight="1" x14ac:dyDescent="0.25">
      <c r="A60" s="150" t="s">
        <v>67</v>
      </c>
      <c r="B60" s="97"/>
      <c r="C60" s="95" t="s">
        <v>68</v>
      </c>
      <c r="D60" s="96"/>
      <c r="E60" s="97"/>
      <c r="F60" s="95" t="s">
        <v>69</v>
      </c>
      <c r="G60" s="96"/>
      <c r="H60" s="97"/>
      <c r="I60" s="95" t="s">
        <v>70</v>
      </c>
      <c r="J60" s="96"/>
      <c r="K60" s="97"/>
      <c r="L60" s="24" t="s">
        <v>71</v>
      </c>
      <c r="M60" s="95" t="s">
        <v>72</v>
      </c>
      <c r="N60" s="96"/>
      <c r="O60" s="97"/>
      <c r="P60" s="95" t="s">
        <v>73</v>
      </c>
      <c r="Q60" s="97"/>
      <c r="R60" s="95" t="s">
        <v>66</v>
      </c>
      <c r="S60" s="96"/>
      <c r="T60" s="142"/>
    </row>
    <row r="61" spans="1:20" ht="21" customHeight="1" x14ac:dyDescent="0.25">
      <c r="A61" s="40"/>
      <c r="B61" s="28"/>
      <c r="C61" s="19"/>
      <c r="D61" s="19"/>
      <c r="E61" s="28"/>
      <c r="F61" s="19"/>
      <c r="G61" s="19"/>
      <c r="H61" s="28"/>
      <c r="I61" s="19"/>
      <c r="J61" s="19"/>
      <c r="K61" s="28"/>
      <c r="L61" s="36"/>
      <c r="M61" s="19"/>
      <c r="N61" s="19"/>
      <c r="O61" s="28"/>
      <c r="P61" s="19"/>
      <c r="Q61" s="28"/>
      <c r="R61" s="88"/>
      <c r="S61" s="89"/>
      <c r="T61" s="143"/>
    </row>
    <row r="62" spans="1:20" ht="21" customHeight="1" x14ac:dyDescent="0.25">
      <c r="A62" s="41"/>
      <c r="B62" s="37"/>
      <c r="C62" s="20"/>
      <c r="D62" s="20"/>
      <c r="E62" s="37"/>
      <c r="F62" s="20"/>
      <c r="G62" s="20"/>
      <c r="H62" s="37"/>
      <c r="I62" s="20"/>
      <c r="J62" s="20"/>
      <c r="K62" s="37"/>
      <c r="L62" s="11"/>
      <c r="M62" s="20"/>
      <c r="N62" s="20"/>
      <c r="O62" s="37"/>
      <c r="P62" s="20"/>
      <c r="Q62" s="37"/>
      <c r="R62" s="144"/>
      <c r="S62" s="145"/>
      <c r="T62" s="146"/>
    </row>
    <row r="63" spans="1:20" ht="21" customHeight="1" thickBot="1" x14ac:dyDescent="0.3">
      <c r="A63" s="42"/>
      <c r="B63" s="12"/>
      <c r="C63" s="21"/>
      <c r="D63" s="21"/>
      <c r="E63" s="12"/>
      <c r="F63" s="21"/>
      <c r="G63" s="21"/>
      <c r="H63" s="12"/>
      <c r="I63" s="21"/>
      <c r="J63" s="21"/>
      <c r="K63" s="12"/>
      <c r="L63" s="13"/>
      <c r="M63" s="21"/>
      <c r="N63" s="21"/>
      <c r="O63" s="12"/>
      <c r="P63" s="21"/>
      <c r="Q63" s="12"/>
      <c r="R63" s="147"/>
      <c r="S63" s="148"/>
      <c r="T63" s="149"/>
    </row>
    <row r="64" spans="1:20" ht="17.25" customHeight="1" x14ac:dyDescent="0.2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spans="1:20" ht="74.25" customHeight="1" x14ac:dyDescent="0.25">
      <c r="A65" s="14"/>
      <c r="B65" s="15" t="s">
        <v>64</v>
      </c>
      <c r="F65" s="6" t="s">
        <v>65</v>
      </c>
      <c r="G65" s="6"/>
      <c r="J65" s="15" t="s">
        <v>49</v>
      </c>
      <c r="L65" s="14" t="s">
        <v>50</v>
      </c>
      <c r="M65" s="6"/>
      <c r="N65" s="6"/>
      <c r="Q65" s="6" t="s">
        <v>51</v>
      </c>
      <c r="R65" s="6"/>
    </row>
    <row r="66" spans="1:20" ht="21" customHeight="1" x14ac:dyDescent="0.2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</sheetData>
  <mergeCells count="240">
    <mergeCell ref="R60:T60"/>
    <mergeCell ref="R61:T63"/>
    <mergeCell ref="A60:B60"/>
    <mergeCell ref="C60:E60"/>
    <mergeCell ref="F60:H60"/>
    <mergeCell ref="I60:K60"/>
    <mergeCell ref="M60:O60"/>
    <mergeCell ref="P60:Q60"/>
    <mergeCell ref="A56:A59"/>
    <mergeCell ref="B56:Q56"/>
    <mergeCell ref="R56:T56"/>
    <mergeCell ref="B57:Q57"/>
    <mergeCell ref="R57:T59"/>
    <mergeCell ref="B58:Q58"/>
    <mergeCell ref="B59:Q59"/>
    <mergeCell ref="A51:F51"/>
    <mergeCell ref="G51:H55"/>
    <mergeCell ref="I51:K51"/>
    <mergeCell ref="L51:O51"/>
    <mergeCell ref="P51:Q51"/>
    <mergeCell ref="R51:T51"/>
    <mergeCell ref="I52:K52"/>
    <mergeCell ref="L52:O52"/>
    <mergeCell ref="P52:Q52"/>
    <mergeCell ref="R52:T52"/>
    <mergeCell ref="I53:K53"/>
    <mergeCell ref="L53:O53"/>
    <mergeCell ref="P53:Q53"/>
    <mergeCell ref="R53:T53"/>
    <mergeCell ref="I54:K54"/>
    <mergeCell ref="L54:O54"/>
    <mergeCell ref="P54:Q54"/>
    <mergeCell ref="R54:T54"/>
    <mergeCell ref="D55:F55"/>
    <mergeCell ref="I55:K55"/>
    <mergeCell ref="L55:O55"/>
    <mergeCell ref="P55:Q55"/>
    <mergeCell ref="R55:T55"/>
    <mergeCell ref="A49:J49"/>
    <mergeCell ref="M49:N49"/>
    <mergeCell ref="O49:P49"/>
    <mergeCell ref="Q49:R49"/>
    <mergeCell ref="S49:T49"/>
    <mergeCell ref="A50:J50"/>
    <mergeCell ref="M50:N50"/>
    <mergeCell ref="O50:P50"/>
    <mergeCell ref="Q50:R50"/>
    <mergeCell ref="S50:T50"/>
    <mergeCell ref="B47:J47"/>
    <mergeCell ref="M47:N47"/>
    <mergeCell ref="O47:P47"/>
    <mergeCell ref="Q47:R47"/>
    <mergeCell ref="S47:T47"/>
    <mergeCell ref="B48:J48"/>
    <mergeCell ref="M48:N48"/>
    <mergeCell ref="O48:P48"/>
    <mergeCell ref="Q48:R48"/>
    <mergeCell ref="S48:T48"/>
    <mergeCell ref="B45:J45"/>
    <mergeCell ref="M45:N45"/>
    <mergeCell ref="O45:P45"/>
    <mergeCell ref="Q45:R45"/>
    <mergeCell ref="S45:T45"/>
    <mergeCell ref="B46:J46"/>
    <mergeCell ref="M46:N46"/>
    <mergeCell ref="O46:P46"/>
    <mergeCell ref="Q46:R46"/>
    <mergeCell ref="S46:T46"/>
    <mergeCell ref="B43:J43"/>
    <mergeCell ref="M43:N43"/>
    <mergeCell ref="O43:P43"/>
    <mergeCell ref="Q43:R43"/>
    <mergeCell ref="S43:T43"/>
    <mergeCell ref="B44:J44"/>
    <mergeCell ref="M44:N44"/>
    <mergeCell ref="O44:P44"/>
    <mergeCell ref="Q44:R44"/>
    <mergeCell ref="S44:T44"/>
    <mergeCell ref="A41:F41"/>
    <mergeCell ref="M41:N41"/>
    <mergeCell ref="O41:P41"/>
    <mergeCell ref="Q41:R41"/>
    <mergeCell ref="S41:T41"/>
    <mergeCell ref="B29:F29"/>
    <mergeCell ref="E42:J42"/>
    <mergeCell ref="M42:N42"/>
    <mergeCell ref="O42:P42"/>
    <mergeCell ref="Q42:R42"/>
    <mergeCell ref="S42:T42"/>
    <mergeCell ref="B27:F27"/>
    <mergeCell ref="M27:N27"/>
    <mergeCell ref="O27:P27"/>
    <mergeCell ref="Q27:R27"/>
    <mergeCell ref="S27:T27"/>
    <mergeCell ref="B28:F28"/>
    <mergeCell ref="M40:N40"/>
    <mergeCell ref="O40:P40"/>
    <mergeCell ref="Q40:R40"/>
    <mergeCell ref="S40:T40"/>
    <mergeCell ref="O24:P24"/>
    <mergeCell ref="Q24:R24"/>
    <mergeCell ref="S24:T24"/>
    <mergeCell ref="B25:F25"/>
    <mergeCell ref="M25:N25"/>
    <mergeCell ref="O25:P25"/>
    <mergeCell ref="Q25:R25"/>
    <mergeCell ref="S25:T25"/>
    <mergeCell ref="B26:F26"/>
    <mergeCell ref="M26:N26"/>
    <mergeCell ref="O26:P26"/>
    <mergeCell ref="Q26:R26"/>
    <mergeCell ref="S26:T26"/>
    <mergeCell ref="Q21:R21"/>
    <mergeCell ref="S21:T21"/>
    <mergeCell ref="B22:F22"/>
    <mergeCell ref="M22:N22"/>
    <mergeCell ref="O22:P22"/>
    <mergeCell ref="Q22:R22"/>
    <mergeCell ref="S22:T22"/>
    <mergeCell ref="B23:F23"/>
    <mergeCell ref="M23:N23"/>
    <mergeCell ref="O23:P23"/>
    <mergeCell ref="Q23:R23"/>
    <mergeCell ref="S23:T23"/>
    <mergeCell ref="Q18:R18"/>
    <mergeCell ref="S18:T18"/>
    <mergeCell ref="B19:F19"/>
    <mergeCell ref="M19:N19"/>
    <mergeCell ref="O19:P19"/>
    <mergeCell ref="Q19:R19"/>
    <mergeCell ref="S19:T19"/>
    <mergeCell ref="B20:F20"/>
    <mergeCell ref="M20:N20"/>
    <mergeCell ref="O20:P20"/>
    <mergeCell ref="Q20:R20"/>
    <mergeCell ref="S20:T20"/>
    <mergeCell ref="Q15:R15"/>
    <mergeCell ref="S15:T15"/>
    <mergeCell ref="B16:F16"/>
    <mergeCell ref="M16:N16"/>
    <mergeCell ref="O16:P16"/>
    <mergeCell ref="Q16:R16"/>
    <mergeCell ref="S16:T16"/>
    <mergeCell ref="B17:F17"/>
    <mergeCell ref="M17:N17"/>
    <mergeCell ref="O17:P17"/>
    <mergeCell ref="Q17:R17"/>
    <mergeCell ref="S17:T17"/>
    <mergeCell ref="Q11:R11"/>
    <mergeCell ref="S11:T11"/>
    <mergeCell ref="B12:F12"/>
    <mergeCell ref="M12:N12"/>
    <mergeCell ref="O12:P12"/>
    <mergeCell ref="Q12:R12"/>
    <mergeCell ref="S12:T12"/>
    <mergeCell ref="B14:F14"/>
    <mergeCell ref="M14:N14"/>
    <mergeCell ref="O14:P14"/>
    <mergeCell ref="Q14:R14"/>
    <mergeCell ref="S14:T14"/>
    <mergeCell ref="Q8:T8"/>
    <mergeCell ref="M9:N9"/>
    <mergeCell ref="O9:P9"/>
    <mergeCell ref="Q9:R9"/>
    <mergeCell ref="S9:T9"/>
    <mergeCell ref="B10:F10"/>
    <mergeCell ref="M10:N10"/>
    <mergeCell ref="O10:P10"/>
    <mergeCell ref="Q10:R10"/>
    <mergeCell ref="S10:T10"/>
    <mergeCell ref="A1:T1"/>
    <mergeCell ref="A4:G4"/>
    <mergeCell ref="A5:A7"/>
    <mergeCell ref="B5:G7"/>
    <mergeCell ref="H5:I5"/>
    <mergeCell ref="J5:L5"/>
    <mergeCell ref="M5:T5"/>
    <mergeCell ref="H6:I6"/>
    <mergeCell ref="N6:O6"/>
    <mergeCell ref="H7:I7"/>
    <mergeCell ref="B35:F35"/>
    <mergeCell ref="B36:F36"/>
    <mergeCell ref="B37:F37"/>
    <mergeCell ref="B38:F38"/>
    <mergeCell ref="N7:O7"/>
    <mergeCell ref="A8:A9"/>
    <mergeCell ref="B8:F9"/>
    <mergeCell ref="G8:J8"/>
    <mergeCell ref="K8:L8"/>
    <mergeCell ref="M8:P8"/>
    <mergeCell ref="B11:F11"/>
    <mergeCell ref="M11:N11"/>
    <mergeCell ref="O11:P11"/>
    <mergeCell ref="B15:F15"/>
    <mergeCell ref="M15:N15"/>
    <mergeCell ref="O15:P15"/>
    <mergeCell ref="B18:F18"/>
    <mergeCell ref="M18:N18"/>
    <mergeCell ref="O18:P18"/>
    <mergeCell ref="B21:F21"/>
    <mergeCell ref="M21:N21"/>
    <mergeCell ref="O21:P21"/>
    <mergeCell ref="B24:F24"/>
    <mergeCell ref="M24:N24"/>
    <mergeCell ref="O28:P28"/>
    <mergeCell ref="O29:P29"/>
    <mergeCell ref="O30:P30"/>
    <mergeCell ref="O31:P31"/>
    <mergeCell ref="O32:P32"/>
    <mergeCell ref="O33:P33"/>
    <mergeCell ref="O34:P34"/>
    <mergeCell ref="B30:F30"/>
    <mergeCell ref="B31:F31"/>
    <mergeCell ref="B32:F32"/>
    <mergeCell ref="B33:F33"/>
    <mergeCell ref="B34:F34"/>
    <mergeCell ref="O35:P35"/>
    <mergeCell ref="O36:P36"/>
    <mergeCell ref="O37:P37"/>
    <mergeCell ref="O38:P38"/>
    <mergeCell ref="O39:P39"/>
    <mergeCell ref="Q13:R13"/>
    <mergeCell ref="S13:T13"/>
    <mergeCell ref="B39:F39"/>
    <mergeCell ref="B40:F40"/>
    <mergeCell ref="B13:F13"/>
    <mergeCell ref="M13:N13"/>
    <mergeCell ref="O13:P13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</mergeCells>
  <phoneticPr fontId="8" type="noConversion"/>
  <printOptions horizontalCentered="1"/>
  <pageMargins left="0.39370078740157483" right="0" top="0.39370078740157483" bottom="0.39370078740157483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人行道 (2)</vt:lpstr>
      <vt:lpstr>人行道</vt:lpstr>
      <vt:lpstr>人行道!Print_Area</vt:lpstr>
      <vt:lpstr>'人行道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Admin</cp:lastModifiedBy>
  <cp:lastPrinted>2025-11-21T02:51:54Z</cp:lastPrinted>
  <dcterms:created xsi:type="dcterms:W3CDTF">2019-05-01T06:28:42Z</dcterms:created>
  <dcterms:modified xsi:type="dcterms:W3CDTF">2025-11-21T02:52:13Z</dcterms:modified>
</cp:coreProperties>
</file>